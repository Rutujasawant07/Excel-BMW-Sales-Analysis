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Rutuja\"/>
    </mc:Choice>
  </mc:AlternateContent>
  <xr:revisionPtr revIDLastSave="0" documentId="8_{06C689BD-53E2-4E94-875E-1FAD177C0B7F}" xr6:coauthVersionLast="47" xr6:coauthVersionMax="47" xr10:uidLastSave="{00000000-0000-0000-0000-000000000000}"/>
  <bookViews>
    <workbookView xWindow="0" yWindow="0" windowWidth="14400" windowHeight="10780" tabRatio="598" activeTab="1" xr2:uid="{1846113F-7693-49F8-A3DA-56EC212DAA69}"/>
  </bookViews>
  <sheets>
    <sheet name=" BMW data" sheetId="1" r:id="rId1"/>
    <sheet name="DASHBOARD" sheetId="2" r:id="rId2"/>
    <sheet name="Sheet1" sheetId="5" r:id="rId3"/>
    <sheet name="Chart" sheetId="3" r:id="rId4"/>
    <sheet name="KPIS" sheetId="4" r:id="rId5"/>
  </sheets>
  <definedNames>
    <definedName name="_xlcn.WorksheetConnection_RUTUJA1STPROJECTversion1.xlsbTable11" hidden="1">Table1[]</definedName>
    <definedName name="Slicer_model">#N/A</definedName>
    <definedName name="Slicer_price">#N/A</definedName>
    <definedName name="Slicer_transmission1">#N/A</definedName>
  </definedNames>
  <calcPr calcId="191029"/>
  <pivotCaches>
    <pivotCache cacheId="0" r:id="rId6"/>
    <pivotCache cacheId="1" r:id="rId7"/>
    <pivotCache cacheId="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RUTUJA 1ST PROJECT (version 1).xlsb!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901D98-9EE3-4E77-8BFE-CC6E2469392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9238792-3C3E-4F97-9F90-81E6F16577E3}" name="WorksheetConnection_RUTUJA 1ST PROJECT (version 1).xlsb!Table1" type="102" refreshedVersion="8" minRefreshableVersion="5">
    <extLst>
      <ext xmlns:x15="http://schemas.microsoft.com/office/spreadsheetml/2010/11/main" uri="{DE250136-89BD-433C-8126-D09CA5730AF9}">
        <x15:connection id="Table1" autoDelete="1">
          <x15:rangePr sourceName="_xlcn.WorksheetConnection_RUTUJA1STPROJECTversion1.xlsbTable11"/>
        </x15:connection>
      </ext>
    </extLst>
  </connection>
</connections>
</file>

<file path=xl/sharedStrings.xml><?xml version="1.0" encoding="utf-8"?>
<sst xmlns="http://schemas.openxmlformats.org/spreadsheetml/2006/main" count="888" uniqueCount="49">
  <si>
    <t>model</t>
  </si>
  <si>
    <t>year</t>
  </si>
  <si>
    <t>price</t>
  </si>
  <si>
    <t>transmission</t>
  </si>
  <si>
    <t>mileage</t>
  </si>
  <si>
    <t>fuelType</t>
  </si>
  <si>
    <t>tax</t>
  </si>
  <si>
    <t>mpg</t>
  </si>
  <si>
    <t>engineSize</t>
  </si>
  <si>
    <t xml:space="preserve"> 5 Series</t>
  </si>
  <si>
    <t>Automatic</t>
  </si>
  <si>
    <t>Diesel</t>
  </si>
  <si>
    <t xml:space="preserve"> 6 Series</t>
  </si>
  <si>
    <t>Petrol</t>
  </si>
  <si>
    <t xml:space="preserve"> 1 Series</t>
  </si>
  <si>
    <t xml:space="preserve"> 7 Series</t>
  </si>
  <si>
    <t xml:space="preserve"> 2 Series</t>
  </si>
  <si>
    <t>Manual</t>
  </si>
  <si>
    <t xml:space="preserve"> 4 Series</t>
  </si>
  <si>
    <t xml:space="preserve"> X3</t>
  </si>
  <si>
    <t xml:space="preserve"> 3 Series</t>
  </si>
  <si>
    <t>Other</t>
  </si>
  <si>
    <t xml:space="preserve"> X5</t>
  </si>
  <si>
    <t xml:space="preserve"> X4</t>
  </si>
  <si>
    <t xml:space="preserve"> i3</t>
  </si>
  <si>
    <t xml:space="preserve"> X1</t>
  </si>
  <si>
    <t>Semi-Auto</t>
  </si>
  <si>
    <t xml:space="preserve"> M4</t>
  </si>
  <si>
    <t>Hybrid</t>
  </si>
  <si>
    <t xml:space="preserve"> X2</t>
  </si>
  <si>
    <t xml:space="preserve"> X6</t>
  </si>
  <si>
    <t xml:space="preserve"> 8 Series</t>
  </si>
  <si>
    <t xml:space="preserve"> Z4</t>
  </si>
  <si>
    <t xml:space="preserve"> X7</t>
  </si>
  <si>
    <t>Grand Total</t>
  </si>
  <si>
    <t>Sum of price</t>
  </si>
  <si>
    <t>Values</t>
  </si>
  <si>
    <t>Sum of mileage</t>
  </si>
  <si>
    <t>Row Labels</t>
  </si>
  <si>
    <t>Count of model</t>
  </si>
  <si>
    <t>Total</t>
  </si>
  <si>
    <t>Average of price</t>
  </si>
  <si>
    <t>Sum of mpg</t>
  </si>
  <si>
    <t>Average of mileage</t>
  </si>
  <si>
    <t>bar chart</t>
  </si>
  <si>
    <t>line chart</t>
  </si>
  <si>
    <t>pie chart</t>
  </si>
  <si>
    <t>Sum of tax</t>
  </si>
  <si>
    <t>Sum of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</si>
</sst>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4" formatCode="_ [$₹-4009]\ * #,##0.00_ ;_ [$₹-4009]\ * \-#,##0.00_ ;_ [$₹-4009]\ * &quot;-&quot;??_ ;_ @_ "/>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Sales Analysis.xlsx]Chart!PivotTable6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PRICE BY MODEL</a:t>
            </a:r>
          </a:p>
        </c:rich>
      </c:tx>
      <c:layout>
        <c:manualLayout>
          <c:xMode val="edge"/>
          <c:yMode val="edge"/>
          <c:x val="0.38193326511541331"/>
          <c:y val="3.79700887198986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0888904373679"/>
          <c:y val="0.18470200778711221"/>
          <c:w val="0.73539567509813486"/>
          <c:h val="0.55962046066505122"/>
        </c:manualLayout>
      </c:layout>
      <c:barChart>
        <c:barDir val="col"/>
        <c:grouping val="clustered"/>
        <c:varyColors val="0"/>
        <c:ser>
          <c:idx val="0"/>
          <c:order val="0"/>
          <c:tx>
            <c:strRef>
              <c:f>Chart!$B$3</c:f>
              <c:strCache>
                <c:ptCount val="1"/>
                <c:pt idx="0">
                  <c:v>Total</c:v>
                </c:pt>
              </c:strCache>
            </c:strRef>
          </c:tx>
          <c:spPr>
            <a:solidFill>
              <a:schemeClr val="accent1"/>
            </a:solidFill>
            <a:ln>
              <a:noFill/>
            </a:ln>
            <a:effectLst/>
          </c:spPr>
          <c:invertIfNegative val="0"/>
          <c:cat>
            <c:strRef>
              <c:f>Chart!$A$4:$A$22</c:f>
              <c:strCache>
                <c:ptCount val="18"/>
                <c:pt idx="0">
                  <c:v> 1 Series</c:v>
                </c:pt>
                <c:pt idx="1">
                  <c:v> 2 Series</c:v>
                </c:pt>
                <c:pt idx="2">
                  <c:v> 3 Series</c:v>
                </c:pt>
                <c:pt idx="3">
                  <c:v> 4 Series</c:v>
                </c:pt>
                <c:pt idx="4">
                  <c:v> 5 Series</c:v>
                </c:pt>
                <c:pt idx="5">
                  <c:v> 6 Series</c:v>
                </c:pt>
                <c:pt idx="6">
                  <c:v> 7 Series</c:v>
                </c:pt>
                <c:pt idx="7">
                  <c:v> 8 Series</c:v>
                </c:pt>
                <c:pt idx="8">
                  <c:v> i3</c:v>
                </c:pt>
                <c:pt idx="9">
                  <c:v> M4</c:v>
                </c:pt>
                <c:pt idx="10">
                  <c:v> X1</c:v>
                </c:pt>
                <c:pt idx="11">
                  <c:v> X2</c:v>
                </c:pt>
                <c:pt idx="12">
                  <c:v> X3</c:v>
                </c:pt>
                <c:pt idx="13">
                  <c:v> X4</c:v>
                </c:pt>
                <c:pt idx="14">
                  <c:v> X5</c:v>
                </c:pt>
                <c:pt idx="15">
                  <c:v> X6</c:v>
                </c:pt>
                <c:pt idx="16">
                  <c:v> X7</c:v>
                </c:pt>
                <c:pt idx="17">
                  <c:v> Z4</c:v>
                </c:pt>
              </c:strCache>
            </c:strRef>
          </c:cat>
          <c:val>
            <c:numRef>
              <c:f>Chart!$B$4:$B$22</c:f>
              <c:numCache>
                <c:formatCode>General</c:formatCode>
                <c:ptCount val="18"/>
                <c:pt idx="0">
                  <c:v>13595.72463768116</c:v>
                </c:pt>
                <c:pt idx="1">
                  <c:v>15446.588235294117</c:v>
                </c:pt>
                <c:pt idx="2">
                  <c:v>16378.288461538461</c:v>
                </c:pt>
                <c:pt idx="3">
                  <c:v>18842.400000000001</c:v>
                </c:pt>
                <c:pt idx="4">
                  <c:v>18385.733333333334</c:v>
                </c:pt>
                <c:pt idx="5">
                  <c:v>27000</c:v>
                </c:pt>
                <c:pt idx="6">
                  <c:v>30199</c:v>
                </c:pt>
                <c:pt idx="7">
                  <c:v>61898</c:v>
                </c:pt>
                <c:pt idx="8">
                  <c:v>17100</c:v>
                </c:pt>
                <c:pt idx="9">
                  <c:v>30748</c:v>
                </c:pt>
                <c:pt idx="10">
                  <c:v>16270.25</c:v>
                </c:pt>
                <c:pt idx="11">
                  <c:v>29998</c:v>
                </c:pt>
                <c:pt idx="12">
                  <c:v>20062.866666666665</c:v>
                </c:pt>
                <c:pt idx="13">
                  <c:v>26979.200000000001</c:v>
                </c:pt>
                <c:pt idx="14">
                  <c:v>30217.75</c:v>
                </c:pt>
                <c:pt idx="15">
                  <c:v>32162.666666666668</c:v>
                </c:pt>
                <c:pt idx="16">
                  <c:v>78000</c:v>
                </c:pt>
                <c:pt idx="17">
                  <c:v>18650</c:v>
                </c:pt>
              </c:numCache>
            </c:numRef>
          </c:val>
          <c:extLst>
            <c:ext xmlns:c16="http://schemas.microsoft.com/office/drawing/2014/chart" uri="{C3380CC4-5D6E-409C-BE32-E72D297353CC}">
              <c16:uniqueId val="{00000000-3980-4B92-ABD0-B38DAB41C875}"/>
            </c:ext>
          </c:extLst>
        </c:ser>
        <c:dLbls>
          <c:showLegendKey val="0"/>
          <c:showVal val="0"/>
          <c:showCatName val="0"/>
          <c:showSerName val="0"/>
          <c:showPercent val="0"/>
          <c:showBubbleSize val="0"/>
        </c:dLbls>
        <c:gapWidth val="219"/>
        <c:overlap val="-27"/>
        <c:axId val="364667536"/>
        <c:axId val="364666576"/>
      </c:barChart>
      <c:catAx>
        <c:axId val="36466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666576"/>
        <c:crosses val="autoZero"/>
        <c:auto val="1"/>
        <c:lblAlgn val="ctr"/>
        <c:lblOffset val="100"/>
        <c:noMultiLvlLbl val="0"/>
      </c:catAx>
      <c:valAx>
        <c:axId val="364666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667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Sales Analysis.xlsx]Chart!PivotTable8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MILEAGE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Chart!$H$17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Chart!$G$18:$G$26</c:f>
              <c:strCache>
                <c:ptCount val="8"/>
                <c:pt idx="0">
                  <c:v>2013</c:v>
                </c:pt>
                <c:pt idx="1">
                  <c:v>2014</c:v>
                </c:pt>
                <c:pt idx="2">
                  <c:v>2015</c:v>
                </c:pt>
                <c:pt idx="3">
                  <c:v>2016</c:v>
                </c:pt>
                <c:pt idx="4">
                  <c:v>2017</c:v>
                </c:pt>
                <c:pt idx="5">
                  <c:v>2018</c:v>
                </c:pt>
                <c:pt idx="6">
                  <c:v>2019</c:v>
                </c:pt>
                <c:pt idx="7">
                  <c:v>2020</c:v>
                </c:pt>
              </c:strCache>
            </c:strRef>
          </c:cat>
          <c:val>
            <c:numRef>
              <c:f>Chart!$H$18:$H$26</c:f>
              <c:numCache>
                <c:formatCode>General</c:formatCode>
                <c:ptCount val="8"/>
                <c:pt idx="0">
                  <c:v>58756.714285714283</c:v>
                </c:pt>
                <c:pt idx="1">
                  <c:v>48106.285714285717</c:v>
                </c:pt>
                <c:pt idx="2">
                  <c:v>47904.238095238092</c:v>
                </c:pt>
                <c:pt idx="3">
                  <c:v>37048.432432432433</c:v>
                </c:pt>
                <c:pt idx="4">
                  <c:v>33607.712500000001</c:v>
                </c:pt>
                <c:pt idx="5">
                  <c:v>16269.458333333334</c:v>
                </c:pt>
                <c:pt idx="6">
                  <c:v>7341.0952380952385</c:v>
                </c:pt>
                <c:pt idx="7">
                  <c:v>2315.7142857142858</c:v>
                </c:pt>
              </c:numCache>
            </c:numRef>
          </c:val>
          <c:smooth val="0"/>
          <c:extLst>
            <c:ext xmlns:c16="http://schemas.microsoft.com/office/drawing/2014/chart" uri="{C3380CC4-5D6E-409C-BE32-E72D297353CC}">
              <c16:uniqueId val="{00000000-5BE5-4073-B2CC-174FE63DCED5}"/>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417120176"/>
        <c:axId val="417122096"/>
      </c:lineChart>
      <c:catAx>
        <c:axId val="41712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122096"/>
        <c:crosses val="autoZero"/>
        <c:auto val="1"/>
        <c:lblAlgn val="ctr"/>
        <c:lblOffset val="100"/>
        <c:noMultiLvlLbl val="0"/>
      </c:catAx>
      <c:valAx>
        <c:axId val="417122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12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Sales Analysis.xlsx]Chart!PivotTable7</c:name>
    <c:fmtId val="3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FUEL TYPE SHARE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Chart!$G$3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D50-492D-8BC0-BAA2C2913AB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D50-492D-8BC0-BAA2C2913AB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D50-492D-8BC0-BAA2C2913ABD}"/>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D50-492D-8BC0-BAA2C2913AB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Chart!$F$4:$F$8</c:f>
              <c:strCache>
                <c:ptCount val="4"/>
                <c:pt idx="0">
                  <c:v>Diesel</c:v>
                </c:pt>
                <c:pt idx="1">
                  <c:v>Hybrid</c:v>
                </c:pt>
                <c:pt idx="2">
                  <c:v>Other</c:v>
                </c:pt>
                <c:pt idx="3">
                  <c:v>Petrol</c:v>
                </c:pt>
              </c:strCache>
            </c:strRef>
          </c:cat>
          <c:val>
            <c:numRef>
              <c:f>Chart!$G$4:$G$8</c:f>
              <c:numCache>
                <c:formatCode>General</c:formatCode>
                <c:ptCount val="4"/>
                <c:pt idx="0">
                  <c:v>179</c:v>
                </c:pt>
                <c:pt idx="1">
                  <c:v>2</c:v>
                </c:pt>
                <c:pt idx="2">
                  <c:v>7</c:v>
                </c:pt>
                <c:pt idx="3">
                  <c:v>60</c:v>
                </c:pt>
              </c:numCache>
            </c:numRef>
          </c:val>
          <c:extLst>
            <c:ext xmlns:c16="http://schemas.microsoft.com/office/drawing/2014/chart" uri="{C3380CC4-5D6E-409C-BE32-E72D297353CC}">
              <c16:uniqueId val="{00000008-2D50-492D-8BC0-BAA2C2913AB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Sales Analysis.xlsx]Chart!PivotTable5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YEAR</a:t>
            </a:r>
            <a:r>
              <a:rPr lang="en-US" b="1" baseline="0"/>
              <a:t> WISE TAX</a:t>
            </a:r>
            <a:endParaRPr lang="en-US" b="1"/>
          </a:p>
        </c:rich>
      </c:tx>
      <c:layout>
        <c:manualLayout>
          <c:xMode val="edge"/>
          <c:yMode val="edge"/>
          <c:x val="0.33097903555725505"/>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strRef>
              <c:f>Chart!$J$4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22-4CB0-BA4D-3487AD730A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22-4CB0-BA4D-3487AD730A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22-4CB0-BA4D-3487AD730A3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422-4CB0-BA4D-3487AD730A3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422-4CB0-BA4D-3487AD730A3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422-4CB0-BA4D-3487AD730A3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422-4CB0-BA4D-3487AD730A3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422-4CB0-BA4D-3487AD730A37}"/>
              </c:ext>
            </c:extLst>
          </c:dPt>
          <c:cat>
            <c:strRef>
              <c:f>Chart!$I$5:$I$13</c:f>
              <c:strCache>
                <c:ptCount val="8"/>
                <c:pt idx="0">
                  <c:v>2013</c:v>
                </c:pt>
                <c:pt idx="1">
                  <c:v>2014</c:v>
                </c:pt>
                <c:pt idx="2">
                  <c:v>2015</c:v>
                </c:pt>
                <c:pt idx="3">
                  <c:v>2016</c:v>
                </c:pt>
                <c:pt idx="4">
                  <c:v>2017</c:v>
                </c:pt>
                <c:pt idx="5">
                  <c:v>2018</c:v>
                </c:pt>
                <c:pt idx="6">
                  <c:v>2019</c:v>
                </c:pt>
                <c:pt idx="7">
                  <c:v>2020</c:v>
                </c:pt>
              </c:strCache>
            </c:strRef>
          </c:cat>
          <c:val>
            <c:numRef>
              <c:f>Chart!$J$5:$J$13</c:f>
              <c:numCache>
                <c:formatCode>General</c:formatCode>
                <c:ptCount val="8"/>
                <c:pt idx="0">
                  <c:v>1130</c:v>
                </c:pt>
                <c:pt idx="1">
                  <c:v>1710</c:v>
                </c:pt>
                <c:pt idx="2">
                  <c:v>1605</c:v>
                </c:pt>
                <c:pt idx="3">
                  <c:v>7125</c:v>
                </c:pt>
                <c:pt idx="4">
                  <c:v>9640</c:v>
                </c:pt>
                <c:pt idx="5">
                  <c:v>3500</c:v>
                </c:pt>
                <c:pt idx="6">
                  <c:v>3065</c:v>
                </c:pt>
                <c:pt idx="7">
                  <c:v>1035</c:v>
                </c:pt>
              </c:numCache>
            </c:numRef>
          </c:val>
          <c:extLst>
            <c:ext xmlns:c16="http://schemas.microsoft.com/office/drawing/2014/chart" uri="{C3380CC4-5D6E-409C-BE32-E72D297353CC}">
              <c16:uniqueId val="{00000010-C422-4CB0-BA4D-3487AD730A3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Sales Analysis.xlsx]Chart!PivotTable6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PRICE BY MODEL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Chart!$B$3</c:f>
              <c:strCache>
                <c:ptCount val="1"/>
                <c:pt idx="0">
                  <c:v>Total</c:v>
                </c:pt>
              </c:strCache>
            </c:strRef>
          </c:tx>
          <c:spPr>
            <a:solidFill>
              <a:schemeClr val="accent1"/>
            </a:solidFill>
            <a:ln>
              <a:noFill/>
            </a:ln>
            <a:effectLst/>
          </c:spPr>
          <c:invertIfNegative val="0"/>
          <c:cat>
            <c:strRef>
              <c:f>Chart!$A$4:$A$22</c:f>
              <c:strCache>
                <c:ptCount val="18"/>
                <c:pt idx="0">
                  <c:v> 1 Series</c:v>
                </c:pt>
                <c:pt idx="1">
                  <c:v> 2 Series</c:v>
                </c:pt>
                <c:pt idx="2">
                  <c:v> 3 Series</c:v>
                </c:pt>
                <c:pt idx="3">
                  <c:v> 4 Series</c:v>
                </c:pt>
                <c:pt idx="4">
                  <c:v> 5 Series</c:v>
                </c:pt>
                <c:pt idx="5">
                  <c:v> 6 Series</c:v>
                </c:pt>
                <c:pt idx="6">
                  <c:v> 7 Series</c:v>
                </c:pt>
                <c:pt idx="7">
                  <c:v> 8 Series</c:v>
                </c:pt>
                <c:pt idx="8">
                  <c:v> i3</c:v>
                </c:pt>
                <c:pt idx="9">
                  <c:v> M4</c:v>
                </c:pt>
                <c:pt idx="10">
                  <c:v> X1</c:v>
                </c:pt>
                <c:pt idx="11">
                  <c:v> X2</c:v>
                </c:pt>
                <c:pt idx="12">
                  <c:v> X3</c:v>
                </c:pt>
                <c:pt idx="13">
                  <c:v> X4</c:v>
                </c:pt>
                <c:pt idx="14">
                  <c:v> X5</c:v>
                </c:pt>
                <c:pt idx="15">
                  <c:v> X6</c:v>
                </c:pt>
                <c:pt idx="16">
                  <c:v> X7</c:v>
                </c:pt>
                <c:pt idx="17">
                  <c:v> Z4</c:v>
                </c:pt>
              </c:strCache>
            </c:strRef>
          </c:cat>
          <c:val>
            <c:numRef>
              <c:f>Chart!$B$4:$B$22</c:f>
              <c:numCache>
                <c:formatCode>General</c:formatCode>
                <c:ptCount val="18"/>
                <c:pt idx="0">
                  <c:v>13595.72463768116</c:v>
                </c:pt>
                <c:pt idx="1">
                  <c:v>15446.588235294117</c:v>
                </c:pt>
                <c:pt idx="2">
                  <c:v>16378.288461538461</c:v>
                </c:pt>
                <c:pt idx="3">
                  <c:v>18842.400000000001</c:v>
                </c:pt>
                <c:pt idx="4">
                  <c:v>18385.733333333334</c:v>
                </c:pt>
                <c:pt idx="5">
                  <c:v>27000</c:v>
                </c:pt>
                <c:pt idx="6">
                  <c:v>30199</c:v>
                </c:pt>
                <c:pt idx="7">
                  <c:v>61898</c:v>
                </c:pt>
                <c:pt idx="8">
                  <c:v>17100</c:v>
                </c:pt>
                <c:pt idx="9">
                  <c:v>30748</c:v>
                </c:pt>
                <c:pt idx="10">
                  <c:v>16270.25</c:v>
                </c:pt>
                <c:pt idx="11">
                  <c:v>29998</c:v>
                </c:pt>
                <c:pt idx="12">
                  <c:v>20062.866666666665</c:v>
                </c:pt>
                <c:pt idx="13">
                  <c:v>26979.200000000001</c:v>
                </c:pt>
                <c:pt idx="14">
                  <c:v>30217.75</c:v>
                </c:pt>
                <c:pt idx="15">
                  <c:v>32162.666666666668</c:v>
                </c:pt>
                <c:pt idx="16">
                  <c:v>78000</c:v>
                </c:pt>
                <c:pt idx="17">
                  <c:v>18650</c:v>
                </c:pt>
              </c:numCache>
            </c:numRef>
          </c:val>
          <c:extLst>
            <c:ext xmlns:c16="http://schemas.microsoft.com/office/drawing/2014/chart" uri="{C3380CC4-5D6E-409C-BE32-E72D297353CC}">
              <c16:uniqueId val="{00000000-8D39-4F40-9B4C-25E45D4DCA72}"/>
            </c:ext>
          </c:extLst>
        </c:ser>
        <c:dLbls>
          <c:showLegendKey val="0"/>
          <c:showVal val="0"/>
          <c:showCatName val="0"/>
          <c:showSerName val="0"/>
          <c:showPercent val="0"/>
          <c:showBubbleSize val="0"/>
        </c:dLbls>
        <c:gapWidth val="219"/>
        <c:overlap val="-27"/>
        <c:axId val="364667536"/>
        <c:axId val="364666576"/>
      </c:barChart>
      <c:catAx>
        <c:axId val="36466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666576"/>
        <c:crosses val="autoZero"/>
        <c:auto val="1"/>
        <c:lblAlgn val="ctr"/>
        <c:lblOffset val="100"/>
        <c:noMultiLvlLbl val="0"/>
      </c:catAx>
      <c:valAx>
        <c:axId val="364666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66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Sales Analysis.xlsx]Chart!PivotTable8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MILEAGE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Chart!$H$17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Chart!$G$18:$G$26</c:f>
              <c:strCache>
                <c:ptCount val="8"/>
                <c:pt idx="0">
                  <c:v>2013</c:v>
                </c:pt>
                <c:pt idx="1">
                  <c:v>2014</c:v>
                </c:pt>
                <c:pt idx="2">
                  <c:v>2015</c:v>
                </c:pt>
                <c:pt idx="3">
                  <c:v>2016</c:v>
                </c:pt>
                <c:pt idx="4">
                  <c:v>2017</c:v>
                </c:pt>
                <c:pt idx="5">
                  <c:v>2018</c:v>
                </c:pt>
                <c:pt idx="6">
                  <c:v>2019</c:v>
                </c:pt>
                <c:pt idx="7">
                  <c:v>2020</c:v>
                </c:pt>
              </c:strCache>
            </c:strRef>
          </c:cat>
          <c:val>
            <c:numRef>
              <c:f>Chart!$H$18:$H$26</c:f>
              <c:numCache>
                <c:formatCode>General</c:formatCode>
                <c:ptCount val="8"/>
                <c:pt idx="0">
                  <c:v>58756.714285714283</c:v>
                </c:pt>
                <c:pt idx="1">
                  <c:v>48106.285714285717</c:v>
                </c:pt>
                <c:pt idx="2">
                  <c:v>47904.238095238092</c:v>
                </c:pt>
                <c:pt idx="3">
                  <c:v>37048.432432432433</c:v>
                </c:pt>
                <c:pt idx="4">
                  <c:v>33607.712500000001</c:v>
                </c:pt>
                <c:pt idx="5">
                  <c:v>16269.458333333334</c:v>
                </c:pt>
                <c:pt idx="6">
                  <c:v>7341.0952380952385</c:v>
                </c:pt>
                <c:pt idx="7">
                  <c:v>2315.7142857142858</c:v>
                </c:pt>
              </c:numCache>
            </c:numRef>
          </c:val>
          <c:smooth val="0"/>
          <c:extLst>
            <c:ext xmlns:c16="http://schemas.microsoft.com/office/drawing/2014/chart" uri="{C3380CC4-5D6E-409C-BE32-E72D297353CC}">
              <c16:uniqueId val="{00000000-0D6D-429B-AF72-8DBCBB90F778}"/>
            </c:ext>
          </c:extLst>
        </c:ser>
        <c:dLbls>
          <c:showLegendKey val="0"/>
          <c:showVal val="0"/>
          <c:showCatName val="0"/>
          <c:showSerName val="0"/>
          <c:showPercent val="0"/>
          <c:showBubbleSize val="0"/>
        </c:dLbls>
        <c:marker val="1"/>
        <c:smooth val="0"/>
        <c:axId val="417120176"/>
        <c:axId val="417122096"/>
      </c:lineChart>
      <c:catAx>
        <c:axId val="41712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122096"/>
        <c:crosses val="autoZero"/>
        <c:auto val="1"/>
        <c:lblAlgn val="ctr"/>
        <c:lblOffset val="100"/>
        <c:noMultiLvlLbl val="0"/>
      </c:catAx>
      <c:valAx>
        <c:axId val="417122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12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Sales Analysis.xlsx]Chart!PivotTable5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YEAR</a:t>
            </a:r>
            <a:r>
              <a:rPr lang="en-US" b="1" baseline="0"/>
              <a:t> WISE TAX</a:t>
            </a:r>
            <a:endParaRPr lang="en-US" b="1"/>
          </a:p>
        </c:rich>
      </c:tx>
      <c:layout>
        <c:manualLayout>
          <c:xMode val="edge"/>
          <c:yMode val="edge"/>
          <c:x val="0.33097903555725505"/>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s>
    <c:plotArea>
      <c:layout/>
      <c:pieChart>
        <c:varyColors val="1"/>
        <c:ser>
          <c:idx val="0"/>
          <c:order val="0"/>
          <c:tx>
            <c:strRef>
              <c:f>Chart!$J$4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42-4653-A245-1D33C219B9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42-4653-A245-1D33C219B9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42-4653-A245-1D33C219B93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742-4653-A245-1D33C219B93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742-4653-A245-1D33C219B93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742-4653-A245-1D33C219B93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742-4653-A245-1D33C219B93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742-4653-A245-1D33C219B93F}"/>
              </c:ext>
            </c:extLst>
          </c:dPt>
          <c:cat>
            <c:strRef>
              <c:f>Chart!$I$5:$I$13</c:f>
              <c:strCache>
                <c:ptCount val="8"/>
                <c:pt idx="0">
                  <c:v>2013</c:v>
                </c:pt>
                <c:pt idx="1">
                  <c:v>2014</c:v>
                </c:pt>
                <c:pt idx="2">
                  <c:v>2015</c:v>
                </c:pt>
                <c:pt idx="3">
                  <c:v>2016</c:v>
                </c:pt>
                <c:pt idx="4">
                  <c:v>2017</c:v>
                </c:pt>
                <c:pt idx="5">
                  <c:v>2018</c:v>
                </c:pt>
                <c:pt idx="6">
                  <c:v>2019</c:v>
                </c:pt>
                <c:pt idx="7">
                  <c:v>2020</c:v>
                </c:pt>
              </c:strCache>
            </c:strRef>
          </c:cat>
          <c:val>
            <c:numRef>
              <c:f>Chart!$J$5:$J$13</c:f>
              <c:numCache>
                <c:formatCode>General</c:formatCode>
                <c:ptCount val="8"/>
                <c:pt idx="0">
                  <c:v>1130</c:v>
                </c:pt>
                <c:pt idx="1">
                  <c:v>1710</c:v>
                </c:pt>
                <c:pt idx="2">
                  <c:v>1605</c:v>
                </c:pt>
                <c:pt idx="3">
                  <c:v>7125</c:v>
                </c:pt>
                <c:pt idx="4">
                  <c:v>9640</c:v>
                </c:pt>
                <c:pt idx="5">
                  <c:v>3500</c:v>
                </c:pt>
                <c:pt idx="6">
                  <c:v>3065</c:v>
                </c:pt>
                <c:pt idx="7">
                  <c:v>1035</c:v>
                </c:pt>
              </c:numCache>
            </c:numRef>
          </c:val>
          <c:extLst>
            <c:ext xmlns:c16="http://schemas.microsoft.com/office/drawing/2014/chart" uri="{C3380CC4-5D6E-409C-BE32-E72D297353CC}">
              <c16:uniqueId val="{00000010-AC10-4252-AF8F-088EECAA7FB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Sales Analysis.xlsx]Chart!PivotTable7</c:name>
    <c:fmtId val="1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FUEL TYPE SHARE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Chart!$G$3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E84-4695-9601-96D2769CB32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E84-4695-9601-96D2769CB327}"/>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E84-4695-9601-96D2769CB327}"/>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E84-4695-9601-96D2769CB32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Chart!$F$4:$F$8</c:f>
              <c:strCache>
                <c:ptCount val="4"/>
                <c:pt idx="0">
                  <c:v>Diesel</c:v>
                </c:pt>
                <c:pt idx="1">
                  <c:v>Hybrid</c:v>
                </c:pt>
                <c:pt idx="2">
                  <c:v>Other</c:v>
                </c:pt>
                <c:pt idx="3">
                  <c:v>Petrol</c:v>
                </c:pt>
              </c:strCache>
            </c:strRef>
          </c:cat>
          <c:val>
            <c:numRef>
              <c:f>Chart!$G$4:$G$8</c:f>
              <c:numCache>
                <c:formatCode>General</c:formatCode>
                <c:ptCount val="4"/>
                <c:pt idx="0">
                  <c:v>179</c:v>
                </c:pt>
                <c:pt idx="1">
                  <c:v>2</c:v>
                </c:pt>
                <c:pt idx="2">
                  <c:v>7</c:v>
                </c:pt>
                <c:pt idx="3">
                  <c:v>60</c:v>
                </c:pt>
              </c:numCache>
            </c:numRef>
          </c:val>
          <c:extLst>
            <c:ext xmlns:c16="http://schemas.microsoft.com/office/drawing/2014/chart" uri="{C3380CC4-5D6E-409C-BE32-E72D297353CC}">
              <c16:uniqueId val="{00000000-DEB0-468E-928E-F50195C2271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https://www.macrotots.com/" TargetMode="External"/><Relationship Id="rId5" Type="http://schemas.openxmlformats.org/officeDocument/2006/relationships/image" Target="../media/image1.jp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225323</xdr:colOff>
      <xdr:row>11</xdr:row>
      <xdr:rowOff>61451</xdr:rowOff>
    </xdr:from>
    <xdr:to>
      <xdr:col>10</xdr:col>
      <xdr:colOff>201586</xdr:colOff>
      <xdr:row>28</xdr:row>
      <xdr:rowOff>83658</xdr:rowOff>
    </xdr:to>
    <xdr:sp macro="" textlink="">
      <xdr:nvSpPr>
        <xdr:cNvPr id="3" name="Rectangle: Rounded Corners 2">
          <a:extLst>
            <a:ext uri="{FF2B5EF4-FFF2-40B4-BE49-F238E27FC236}">
              <a16:creationId xmlns:a16="http://schemas.microsoft.com/office/drawing/2014/main" id="{9FE871C4-17AC-8C82-4535-461014242AF3}"/>
            </a:ext>
          </a:extLst>
        </xdr:cNvPr>
        <xdr:cNvSpPr/>
      </xdr:nvSpPr>
      <xdr:spPr>
        <a:xfrm>
          <a:off x="1454355" y="2089354"/>
          <a:ext cx="4892392" cy="3156239"/>
        </a:xfrm>
        <a:prstGeom prst="roundRect">
          <a:avLst>
            <a:gd name="adj" fmla="val 33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204839</xdr:colOff>
      <xdr:row>29</xdr:row>
      <xdr:rowOff>61452</xdr:rowOff>
    </xdr:from>
    <xdr:to>
      <xdr:col>10</xdr:col>
      <xdr:colOff>225323</xdr:colOff>
      <xdr:row>46</xdr:row>
      <xdr:rowOff>80635</xdr:rowOff>
    </xdr:to>
    <xdr:sp macro="" textlink="">
      <xdr:nvSpPr>
        <xdr:cNvPr id="4" name="Rectangle: Rounded Corners 3">
          <a:extLst>
            <a:ext uri="{FF2B5EF4-FFF2-40B4-BE49-F238E27FC236}">
              <a16:creationId xmlns:a16="http://schemas.microsoft.com/office/drawing/2014/main" id="{F25E5631-6262-636E-6127-4F81BAE2630F}"/>
            </a:ext>
          </a:extLst>
        </xdr:cNvPr>
        <xdr:cNvSpPr/>
      </xdr:nvSpPr>
      <xdr:spPr>
        <a:xfrm>
          <a:off x="1433871" y="5407742"/>
          <a:ext cx="4936613" cy="3153216"/>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8615</xdr:colOff>
      <xdr:row>6</xdr:row>
      <xdr:rowOff>49730</xdr:rowOff>
    </xdr:from>
    <xdr:to>
      <xdr:col>6</xdr:col>
      <xdr:colOff>209236</xdr:colOff>
      <xdr:row>10</xdr:row>
      <xdr:rowOff>89417</xdr:rowOff>
    </xdr:to>
    <xdr:sp macro="" textlink="">
      <xdr:nvSpPr>
        <xdr:cNvPr id="5" name="Rectangle: Rounded Corners 4">
          <a:extLst>
            <a:ext uri="{FF2B5EF4-FFF2-40B4-BE49-F238E27FC236}">
              <a16:creationId xmlns:a16="http://schemas.microsoft.com/office/drawing/2014/main" id="{31730C97-015B-CA58-B209-C357ADA53449}"/>
            </a:ext>
          </a:extLst>
        </xdr:cNvPr>
        <xdr:cNvSpPr/>
      </xdr:nvSpPr>
      <xdr:spPr>
        <a:xfrm>
          <a:off x="1852163" y="1155859"/>
          <a:ext cx="2044170" cy="777106"/>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TOTAL PRICE</a:t>
          </a:r>
        </a:p>
        <a:p>
          <a:pPr algn="l"/>
          <a:endParaRPr lang="en-IN" sz="1400"/>
        </a:p>
        <a:p>
          <a:pPr algn="l"/>
          <a:endParaRPr lang="en-IN" sz="1400"/>
        </a:p>
      </xdr:txBody>
    </xdr:sp>
    <xdr:clientData/>
  </xdr:twoCellAnchor>
  <xdr:twoCellAnchor>
    <xdr:from>
      <xdr:col>6</xdr:col>
      <xdr:colOff>558731</xdr:colOff>
      <xdr:row>6</xdr:row>
      <xdr:rowOff>44187</xdr:rowOff>
    </xdr:from>
    <xdr:to>
      <xdr:col>10</xdr:col>
      <xdr:colOff>324848</xdr:colOff>
      <xdr:row>10</xdr:row>
      <xdr:rowOff>97480</xdr:rowOff>
    </xdr:to>
    <xdr:sp macro="" textlink="">
      <xdr:nvSpPr>
        <xdr:cNvPr id="6" name="Rectangle: Rounded Corners 5">
          <a:extLst>
            <a:ext uri="{FF2B5EF4-FFF2-40B4-BE49-F238E27FC236}">
              <a16:creationId xmlns:a16="http://schemas.microsoft.com/office/drawing/2014/main" id="{3D1BBB10-E3F7-20D6-9011-0D6D9EBF4820}"/>
            </a:ext>
          </a:extLst>
        </xdr:cNvPr>
        <xdr:cNvSpPr/>
      </xdr:nvSpPr>
      <xdr:spPr>
        <a:xfrm>
          <a:off x="4245828" y="1150316"/>
          <a:ext cx="2224181" cy="790712"/>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AVERAGE</a:t>
          </a:r>
          <a:r>
            <a:rPr lang="en-IN" sz="1400" baseline="0"/>
            <a:t> MILEAGE</a:t>
          </a:r>
          <a:endParaRPr lang="en-IN" sz="1400"/>
        </a:p>
      </xdr:txBody>
    </xdr:sp>
    <xdr:clientData/>
  </xdr:twoCellAnchor>
  <xdr:twoCellAnchor>
    <xdr:from>
      <xdr:col>11</xdr:col>
      <xdr:colOff>79631</xdr:colOff>
      <xdr:row>6</xdr:row>
      <xdr:rowOff>51210</xdr:rowOff>
    </xdr:from>
    <xdr:to>
      <xdr:col>14</xdr:col>
      <xdr:colOff>460886</xdr:colOff>
      <xdr:row>10</xdr:row>
      <xdr:rowOff>92178</xdr:rowOff>
    </xdr:to>
    <xdr:sp macro="" textlink="">
      <xdr:nvSpPr>
        <xdr:cNvPr id="7" name="Rectangle: Rounded Corners 6">
          <a:extLst>
            <a:ext uri="{FF2B5EF4-FFF2-40B4-BE49-F238E27FC236}">
              <a16:creationId xmlns:a16="http://schemas.microsoft.com/office/drawing/2014/main" id="{7DC3FCCF-1179-A514-8F20-76C0324AE09D}"/>
            </a:ext>
          </a:extLst>
        </xdr:cNvPr>
        <xdr:cNvSpPr/>
      </xdr:nvSpPr>
      <xdr:spPr>
        <a:xfrm>
          <a:off x="6839308" y="1157339"/>
          <a:ext cx="2224804" cy="778387"/>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AVERAGE</a:t>
          </a:r>
          <a:r>
            <a:rPr lang="en-IN" sz="1400" baseline="0"/>
            <a:t> MPG</a:t>
          </a:r>
          <a:endParaRPr lang="en-IN" sz="1400"/>
        </a:p>
      </xdr:txBody>
    </xdr:sp>
    <xdr:clientData/>
  </xdr:twoCellAnchor>
  <xdr:twoCellAnchor>
    <xdr:from>
      <xdr:col>2</xdr:col>
      <xdr:colOff>20484</xdr:colOff>
      <xdr:row>2</xdr:row>
      <xdr:rowOff>87165</xdr:rowOff>
    </xdr:from>
    <xdr:to>
      <xdr:col>19</xdr:col>
      <xdr:colOff>604275</xdr:colOff>
      <xdr:row>5</xdr:row>
      <xdr:rowOff>87165</xdr:rowOff>
    </xdr:to>
    <xdr:sp macro="" textlink="">
      <xdr:nvSpPr>
        <xdr:cNvPr id="8" name="Rectangle: Rounded Corners 7">
          <a:extLst>
            <a:ext uri="{FF2B5EF4-FFF2-40B4-BE49-F238E27FC236}">
              <a16:creationId xmlns:a16="http://schemas.microsoft.com/office/drawing/2014/main" id="{FE4CA4DB-5313-2285-D8E3-44294A6C8804}"/>
            </a:ext>
          </a:extLst>
        </xdr:cNvPr>
        <xdr:cNvSpPr/>
      </xdr:nvSpPr>
      <xdr:spPr>
        <a:xfrm>
          <a:off x="1249516" y="455875"/>
          <a:ext cx="11030565" cy="553064"/>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latin typeface="Algerian" panose="04020705040A02060702" pitchFamily="82" charset="0"/>
            </a:rPr>
            <a:t>BMW SALES ANALYSIS DASHBOARD (2013-2020)</a:t>
          </a:r>
        </a:p>
      </xdr:txBody>
    </xdr:sp>
    <xdr:clientData/>
  </xdr:twoCellAnchor>
  <xdr:twoCellAnchor>
    <xdr:from>
      <xdr:col>15</xdr:col>
      <xdr:colOff>166857</xdr:colOff>
      <xdr:row>6</xdr:row>
      <xdr:rowOff>51406</xdr:rowOff>
    </xdr:from>
    <xdr:to>
      <xdr:col>18</xdr:col>
      <xdr:colOff>570032</xdr:colOff>
      <xdr:row>10</xdr:row>
      <xdr:rowOff>81936</xdr:rowOff>
    </xdr:to>
    <xdr:sp macro="" textlink="">
      <xdr:nvSpPr>
        <xdr:cNvPr id="25" name="Rectangle: Rounded Corners 24">
          <a:extLst>
            <a:ext uri="{FF2B5EF4-FFF2-40B4-BE49-F238E27FC236}">
              <a16:creationId xmlns:a16="http://schemas.microsoft.com/office/drawing/2014/main" id="{22D4B34A-7706-E247-177B-A8C945D24733}"/>
            </a:ext>
          </a:extLst>
        </xdr:cNvPr>
        <xdr:cNvSpPr/>
      </xdr:nvSpPr>
      <xdr:spPr>
        <a:xfrm>
          <a:off x="9384599" y="1157535"/>
          <a:ext cx="2246723" cy="767949"/>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NO.</a:t>
          </a:r>
          <a:r>
            <a:rPr lang="en-IN" sz="1400" baseline="0"/>
            <a:t> OF MODELS</a:t>
          </a:r>
          <a:endParaRPr lang="en-IN" sz="1400"/>
        </a:p>
      </xdr:txBody>
    </xdr:sp>
    <xdr:clientData/>
  </xdr:twoCellAnchor>
  <xdr:oneCellAnchor>
    <xdr:from>
      <xdr:col>3</xdr:col>
      <xdr:colOff>65615</xdr:colOff>
      <xdr:row>8</xdr:row>
      <xdr:rowOff>57452</xdr:rowOff>
    </xdr:from>
    <xdr:ext cx="1687285" cy="373416"/>
    <xdr:sp macro="" textlink="KPIS!$B$4">
      <xdr:nvSpPr>
        <xdr:cNvPr id="9" name="TextBox 8">
          <a:extLst>
            <a:ext uri="{FF2B5EF4-FFF2-40B4-BE49-F238E27FC236}">
              <a16:creationId xmlns:a16="http://schemas.microsoft.com/office/drawing/2014/main" id="{955DAE8A-50F4-1752-B27C-BF3BC627D630}"/>
            </a:ext>
          </a:extLst>
        </xdr:cNvPr>
        <xdr:cNvSpPr txBox="1"/>
      </xdr:nvSpPr>
      <xdr:spPr>
        <a:xfrm>
          <a:off x="1909163" y="1532291"/>
          <a:ext cx="1687285" cy="373416"/>
        </a:xfrm>
        <a:prstGeom prst="rect">
          <a:avLst/>
        </a:prstGeom>
        <a:solidFill>
          <a:schemeClr val="accent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A1A78276-9764-41D6-A6EF-731CF62BEFAE}" type="TxLink">
            <a:rPr lang="en-US" sz="1400" b="0" i="0" u="none" strike="noStrike">
              <a:solidFill>
                <a:schemeClr val="bg1"/>
              </a:solidFill>
              <a:latin typeface="Aptos Narrow"/>
            </a:rPr>
            <a:pPr/>
            <a:t> ₹ 4,405,671.00 </a:t>
          </a:fld>
          <a:endParaRPr lang="en-IN" sz="1400">
            <a:solidFill>
              <a:schemeClr val="bg1"/>
            </a:solidFill>
          </a:endParaRPr>
        </a:p>
      </xdr:txBody>
    </xdr:sp>
    <xdr:clientData/>
  </xdr:oneCellAnchor>
  <xdr:twoCellAnchor>
    <xdr:from>
      <xdr:col>15</xdr:col>
      <xdr:colOff>250261</xdr:colOff>
      <xdr:row>8</xdr:row>
      <xdr:rowOff>17817</xdr:rowOff>
    </xdr:from>
    <xdr:to>
      <xdr:col>17</xdr:col>
      <xdr:colOff>504260</xdr:colOff>
      <xdr:row>9</xdr:row>
      <xdr:rowOff>165885</xdr:rowOff>
    </xdr:to>
    <xdr:sp macro="" textlink="KPIS!J6">
      <xdr:nvSpPr>
        <xdr:cNvPr id="11" name="TextBox 10">
          <a:extLst>
            <a:ext uri="{FF2B5EF4-FFF2-40B4-BE49-F238E27FC236}">
              <a16:creationId xmlns:a16="http://schemas.microsoft.com/office/drawing/2014/main" id="{F54F8DBA-1DD5-1D77-4425-F36A42BF83CC}"/>
            </a:ext>
          </a:extLst>
        </xdr:cNvPr>
        <xdr:cNvSpPr txBox="1"/>
      </xdr:nvSpPr>
      <xdr:spPr>
        <a:xfrm>
          <a:off x="9468003" y="1492656"/>
          <a:ext cx="1483031" cy="332423"/>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C47AB0B-F703-4B40-A2E1-BF9D57FAF720}" type="TxLink">
            <a:rPr lang="en-US" sz="1400" b="0" i="0" u="none" strike="noStrike">
              <a:solidFill>
                <a:schemeClr val="bg1"/>
              </a:solidFill>
              <a:latin typeface="Aptos Narrow"/>
            </a:rPr>
            <a:pPr/>
            <a:t>18</a:t>
          </a:fld>
          <a:endParaRPr lang="en-IN" sz="1400">
            <a:solidFill>
              <a:schemeClr val="bg1"/>
            </a:solidFill>
          </a:endParaRPr>
        </a:p>
      </xdr:txBody>
    </xdr:sp>
    <xdr:clientData/>
  </xdr:twoCellAnchor>
  <xdr:twoCellAnchor>
    <xdr:from>
      <xdr:col>7</xdr:col>
      <xdr:colOff>17881</xdr:colOff>
      <xdr:row>8</xdr:row>
      <xdr:rowOff>68703</xdr:rowOff>
    </xdr:from>
    <xdr:to>
      <xdr:col>10</xdr:col>
      <xdr:colOff>126739</xdr:colOff>
      <xdr:row>9</xdr:row>
      <xdr:rowOff>168490</xdr:rowOff>
    </xdr:to>
    <xdr:sp macro="" textlink="KPIS!M14:M21">
      <xdr:nvSpPr>
        <xdr:cNvPr id="12" name="TextBox 11">
          <a:extLst>
            <a:ext uri="{FF2B5EF4-FFF2-40B4-BE49-F238E27FC236}">
              <a16:creationId xmlns:a16="http://schemas.microsoft.com/office/drawing/2014/main" id="{83783C8B-53BF-77BB-DA58-BED22C13A5EF}"/>
            </a:ext>
          </a:extLst>
        </xdr:cNvPr>
        <xdr:cNvSpPr txBox="1"/>
      </xdr:nvSpPr>
      <xdr:spPr>
        <a:xfrm>
          <a:off x="4319494" y="1543542"/>
          <a:ext cx="1952406" cy="284142"/>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E20AEA4-5224-4C0C-AC8F-F59D74F95EBC}" type="TxLink">
            <a:rPr lang="en-US" sz="1400" b="0" i="0" u="none" strike="noStrike">
              <a:solidFill>
                <a:schemeClr val="bg1"/>
              </a:solidFill>
              <a:latin typeface="Aptos Narrow"/>
            </a:rPr>
            <a:pPr/>
            <a:t>411297</a:t>
          </a:fld>
          <a:endParaRPr lang="en-US" sz="1400">
            <a:solidFill>
              <a:schemeClr val="bg1"/>
            </a:solidFill>
          </a:endParaRPr>
        </a:p>
      </xdr:txBody>
    </xdr:sp>
    <xdr:clientData/>
  </xdr:twoCellAnchor>
  <xdr:twoCellAnchor>
    <xdr:from>
      <xdr:col>11</xdr:col>
      <xdr:colOff>126642</xdr:colOff>
      <xdr:row>8</xdr:row>
      <xdr:rowOff>67856</xdr:rowOff>
    </xdr:from>
    <xdr:to>
      <xdr:col>13</xdr:col>
      <xdr:colOff>577872</xdr:colOff>
      <xdr:row>10</xdr:row>
      <xdr:rowOff>22499</xdr:rowOff>
    </xdr:to>
    <xdr:sp macro="" textlink="KPIS!P6:P23">
      <xdr:nvSpPr>
        <xdr:cNvPr id="14" name="TextBox 13">
          <a:extLst>
            <a:ext uri="{FF2B5EF4-FFF2-40B4-BE49-F238E27FC236}">
              <a16:creationId xmlns:a16="http://schemas.microsoft.com/office/drawing/2014/main" id="{7D4DF040-3766-DE86-6757-BD997A1BE706}"/>
            </a:ext>
          </a:extLst>
        </xdr:cNvPr>
        <xdr:cNvSpPr txBox="1"/>
      </xdr:nvSpPr>
      <xdr:spPr>
        <a:xfrm>
          <a:off x="6886319" y="1542695"/>
          <a:ext cx="1680263" cy="323352"/>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09E9D5-939B-4EEC-B1C5-8FF9643DFECE}" type="TxLink">
            <a:rPr lang="en-US" sz="1400" b="0" i="0" u="none" strike="noStrike">
              <a:solidFill>
                <a:schemeClr val="bg1"/>
              </a:solidFill>
              <a:latin typeface="Aptos Narrow"/>
            </a:rPr>
            <a:pPr/>
            <a:t>4115.6</a:t>
          </a:fld>
          <a:endParaRPr lang="en-IN" sz="1400">
            <a:solidFill>
              <a:schemeClr val="bg1"/>
            </a:solidFill>
          </a:endParaRPr>
        </a:p>
      </xdr:txBody>
    </xdr:sp>
    <xdr:clientData/>
  </xdr:twoCellAnchor>
  <xdr:twoCellAnchor>
    <xdr:from>
      <xdr:col>2</xdr:col>
      <xdr:colOff>327741</xdr:colOff>
      <xdr:row>11</xdr:row>
      <xdr:rowOff>134901</xdr:rowOff>
    </xdr:from>
    <xdr:to>
      <xdr:col>10</xdr:col>
      <xdr:colOff>96598</xdr:colOff>
      <xdr:row>27</xdr:row>
      <xdr:rowOff>143973</xdr:rowOff>
    </xdr:to>
    <xdr:graphicFrame macro="">
      <xdr:nvGraphicFramePr>
        <xdr:cNvPr id="20" name="Chart 19">
          <a:extLst>
            <a:ext uri="{FF2B5EF4-FFF2-40B4-BE49-F238E27FC236}">
              <a16:creationId xmlns:a16="http://schemas.microsoft.com/office/drawing/2014/main" id="{BC595F4D-077A-4AF0-9F1A-59791202B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332620</xdr:colOff>
      <xdr:row>11</xdr:row>
      <xdr:rowOff>69547</xdr:rowOff>
    </xdr:from>
    <xdr:to>
      <xdr:col>17</xdr:col>
      <xdr:colOff>7055</xdr:colOff>
      <xdr:row>28</xdr:row>
      <xdr:rowOff>105833</xdr:rowOff>
    </xdr:to>
    <xdr:sp macro="" textlink="">
      <xdr:nvSpPr>
        <xdr:cNvPr id="24" name="Rectangle: Rounded Corners 23">
          <a:extLst>
            <a:ext uri="{FF2B5EF4-FFF2-40B4-BE49-F238E27FC236}">
              <a16:creationId xmlns:a16="http://schemas.microsoft.com/office/drawing/2014/main" id="{D8B87AAF-7729-AFDC-C567-C8315701CBB8}"/>
            </a:ext>
          </a:extLst>
        </xdr:cNvPr>
        <xdr:cNvSpPr/>
      </xdr:nvSpPr>
      <xdr:spPr>
        <a:xfrm>
          <a:off x="6477781" y="2097450"/>
          <a:ext cx="3976048" cy="3170318"/>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408562</xdr:colOff>
      <xdr:row>11</xdr:row>
      <xdr:rowOff>176930</xdr:rowOff>
    </xdr:from>
    <xdr:to>
      <xdr:col>16</xdr:col>
      <xdr:colOff>524127</xdr:colOff>
      <xdr:row>27</xdr:row>
      <xdr:rowOff>176929</xdr:rowOff>
    </xdr:to>
    <xdr:graphicFrame macro="">
      <xdr:nvGraphicFramePr>
        <xdr:cNvPr id="27" name="Chart 26">
          <a:extLst>
            <a:ext uri="{FF2B5EF4-FFF2-40B4-BE49-F238E27FC236}">
              <a16:creationId xmlns:a16="http://schemas.microsoft.com/office/drawing/2014/main" id="{CE9EB4AE-6A85-4004-9398-BB1139D316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372935</xdr:colOff>
      <xdr:row>29</xdr:row>
      <xdr:rowOff>40317</xdr:rowOff>
    </xdr:from>
    <xdr:to>
      <xdr:col>17</xdr:col>
      <xdr:colOff>10242</xdr:colOff>
      <xdr:row>46</xdr:row>
      <xdr:rowOff>70556</xdr:rowOff>
    </xdr:to>
    <xdr:sp macro="" textlink="">
      <xdr:nvSpPr>
        <xdr:cNvPr id="10" name="Rectangle: Rounded Corners 9">
          <a:extLst>
            <a:ext uri="{FF2B5EF4-FFF2-40B4-BE49-F238E27FC236}">
              <a16:creationId xmlns:a16="http://schemas.microsoft.com/office/drawing/2014/main" id="{F3E27976-0A33-FD28-32A5-15FC7FDC3D9B}"/>
            </a:ext>
          </a:extLst>
        </xdr:cNvPr>
        <xdr:cNvSpPr/>
      </xdr:nvSpPr>
      <xdr:spPr>
        <a:xfrm>
          <a:off x="6518096" y="5386607"/>
          <a:ext cx="3938920" cy="3164272"/>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327742</xdr:colOff>
      <xdr:row>29</xdr:row>
      <xdr:rowOff>153630</xdr:rowOff>
    </xdr:from>
    <xdr:to>
      <xdr:col>10</xdr:col>
      <xdr:colOff>120952</xdr:colOff>
      <xdr:row>45</xdr:row>
      <xdr:rowOff>141112</xdr:rowOff>
    </xdr:to>
    <xdr:graphicFrame macro="">
      <xdr:nvGraphicFramePr>
        <xdr:cNvPr id="31" name="Chart 30">
          <a:extLst>
            <a:ext uri="{FF2B5EF4-FFF2-40B4-BE49-F238E27FC236}">
              <a16:creationId xmlns:a16="http://schemas.microsoft.com/office/drawing/2014/main" id="{09C9610E-300C-451E-BB61-68393D24C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174113</xdr:colOff>
      <xdr:row>11</xdr:row>
      <xdr:rowOff>81935</xdr:rowOff>
    </xdr:from>
    <xdr:to>
      <xdr:col>19</xdr:col>
      <xdr:colOff>409678</xdr:colOff>
      <xdr:row>46</xdr:row>
      <xdr:rowOff>51208</xdr:rowOff>
    </xdr:to>
    <xdr:sp macro="" textlink="">
      <xdr:nvSpPr>
        <xdr:cNvPr id="2" name="Rectangle 1">
          <a:extLst>
            <a:ext uri="{FF2B5EF4-FFF2-40B4-BE49-F238E27FC236}">
              <a16:creationId xmlns:a16="http://schemas.microsoft.com/office/drawing/2014/main" id="{9469BBB1-E288-481E-6FDD-63E12F60300F}"/>
            </a:ext>
          </a:extLst>
        </xdr:cNvPr>
        <xdr:cNvSpPr/>
      </xdr:nvSpPr>
      <xdr:spPr>
        <a:xfrm>
          <a:off x="10620887" y="2109838"/>
          <a:ext cx="1464597" cy="642169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471130</xdr:colOff>
      <xdr:row>29</xdr:row>
      <xdr:rowOff>122904</xdr:rowOff>
    </xdr:from>
    <xdr:to>
      <xdr:col>16</xdr:col>
      <xdr:colOff>512097</xdr:colOff>
      <xdr:row>45</xdr:row>
      <xdr:rowOff>153628</xdr:rowOff>
    </xdr:to>
    <xdr:graphicFrame macro="">
      <xdr:nvGraphicFramePr>
        <xdr:cNvPr id="23" name="Chart 22">
          <a:extLst>
            <a:ext uri="{FF2B5EF4-FFF2-40B4-BE49-F238E27FC236}">
              <a16:creationId xmlns:a16="http://schemas.microsoft.com/office/drawing/2014/main" id="{435DC471-A4B0-49CE-A9FB-050982569F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297017</xdr:colOff>
      <xdr:row>12</xdr:row>
      <xdr:rowOff>71694</xdr:rowOff>
    </xdr:from>
    <xdr:to>
      <xdr:col>19</xdr:col>
      <xdr:colOff>306396</xdr:colOff>
      <xdr:row>19</xdr:row>
      <xdr:rowOff>143387</xdr:rowOff>
    </xdr:to>
    <xdr:pic>
      <xdr:nvPicPr>
        <xdr:cNvPr id="34" name="Picture 33">
          <a:extLst>
            <a:ext uri="{FF2B5EF4-FFF2-40B4-BE49-F238E27FC236}">
              <a16:creationId xmlns:a16="http://schemas.microsoft.com/office/drawing/2014/main" id="{FA46E2FE-BBE4-158E-EC52-F4EE403FB236}"/>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 uri="{837473B0-CC2E-450A-ABE3-18F120FF3D39}">
              <a1611:picAttrSrcUrl xmlns:a1611="http://schemas.microsoft.com/office/drawing/2016/11/main" r:id="rId6"/>
            </a:ext>
          </a:extLst>
        </a:blip>
        <a:srcRect l="20393" t="14262" r="19761" b="13805"/>
        <a:stretch>
          <a:fillRect/>
        </a:stretch>
      </xdr:blipFill>
      <xdr:spPr>
        <a:xfrm>
          <a:off x="10743791" y="2283952"/>
          <a:ext cx="1238411" cy="1362177"/>
        </a:xfrm>
        <a:prstGeom prst="rect">
          <a:avLst/>
        </a:prstGeom>
      </xdr:spPr>
    </xdr:pic>
    <xdr:clientData/>
  </xdr:twoCellAnchor>
  <xdr:oneCellAnchor>
    <xdr:from>
      <xdr:col>14</xdr:col>
      <xdr:colOff>225322</xdr:colOff>
      <xdr:row>26</xdr:row>
      <xdr:rowOff>85243</xdr:rowOff>
    </xdr:from>
    <xdr:ext cx="1116371" cy="233205"/>
    <xdr:sp macro="" textlink="">
      <xdr:nvSpPr>
        <xdr:cNvPr id="35" name="TextBox 34">
          <a:extLst>
            <a:ext uri="{FF2B5EF4-FFF2-40B4-BE49-F238E27FC236}">
              <a16:creationId xmlns:a16="http://schemas.microsoft.com/office/drawing/2014/main" id="{8840A314-CBD4-66FA-0C77-AB7A5F82FB50}"/>
            </a:ext>
          </a:extLst>
        </xdr:cNvPr>
        <xdr:cNvSpPr txBox="1"/>
      </xdr:nvSpPr>
      <xdr:spPr>
        <a:xfrm>
          <a:off x="8828548" y="4878469"/>
          <a:ext cx="1116371"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editAs="oneCell">
    <xdr:from>
      <xdr:col>17</xdr:col>
      <xdr:colOff>225321</xdr:colOff>
      <xdr:row>20</xdr:row>
      <xdr:rowOff>163870</xdr:rowOff>
    </xdr:from>
    <xdr:to>
      <xdr:col>19</xdr:col>
      <xdr:colOff>389192</xdr:colOff>
      <xdr:row>32</xdr:row>
      <xdr:rowOff>51211</xdr:rowOff>
    </xdr:to>
    <mc:AlternateContent xmlns:mc="http://schemas.openxmlformats.org/markup-compatibility/2006" xmlns:a14="http://schemas.microsoft.com/office/drawing/2010/main">
      <mc:Choice Requires="a14">
        <xdr:graphicFrame macro="">
          <xdr:nvGraphicFramePr>
            <xdr:cNvPr id="29" name="transmission 1">
              <a:extLst>
                <a:ext uri="{FF2B5EF4-FFF2-40B4-BE49-F238E27FC236}">
                  <a16:creationId xmlns:a16="http://schemas.microsoft.com/office/drawing/2014/main" id="{ECE7A1BA-C069-4CD5-9EDC-8671C9459718}"/>
                </a:ext>
              </a:extLst>
            </xdr:cNvPr>
            <xdr:cNvGraphicFramePr/>
          </xdr:nvGraphicFramePr>
          <xdr:xfrm>
            <a:off x="0" y="0"/>
            <a:ext cx="0" cy="0"/>
          </xdr:xfrm>
          <a:graphic>
            <a:graphicData uri="http://schemas.microsoft.com/office/drawing/2010/slicer">
              <sle:slicer xmlns:sle="http://schemas.microsoft.com/office/drawing/2010/slicer" name="transmission 1"/>
            </a:graphicData>
          </a:graphic>
        </xdr:graphicFrame>
      </mc:Choice>
      <mc:Fallback xmlns="">
        <xdr:sp macro="" textlink="">
          <xdr:nvSpPr>
            <xdr:cNvPr id="0" name=""/>
            <xdr:cNvSpPr>
              <a:spLocks noTextEdit="1"/>
            </xdr:cNvSpPr>
          </xdr:nvSpPr>
          <xdr:spPr>
            <a:xfrm>
              <a:off x="10570529" y="3868037"/>
              <a:ext cx="1380955" cy="21098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215081</xdr:colOff>
      <xdr:row>33</xdr:row>
      <xdr:rowOff>0</xdr:rowOff>
    </xdr:from>
    <xdr:to>
      <xdr:col>19</xdr:col>
      <xdr:colOff>389194</xdr:colOff>
      <xdr:row>46</xdr:row>
      <xdr:rowOff>17918</xdr:rowOff>
    </xdr:to>
    <mc:AlternateContent xmlns:mc="http://schemas.openxmlformats.org/markup-compatibility/2006" xmlns:a14="http://schemas.microsoft.com/office/drawing/2010/main">
      <mc:Choice Requires="a14">
        <xdr:graphicFrame macro="">
          <xdr:nvGraphicFramePr>
            <xdr:cNvPr id="30" name="model">
              <a:extLst>
                <a:ext uri="{FF2B5EF4-FFF2-40B4-BE49-F238E27FC236}">
                  <a16:creationId xmlns:a16="http://schemas.microsoft.com/office/drawing/2014/main" id="{ABD04827-A0CD-4D49-9E75-644807B54367}"/>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10560289" y="6111875"/>
              <a:ext cx="1391197" cy="24256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23</xdr:row>
      <xdr:rowOff>130175</xdr:rowOff>
    </xdr:from>
    <xdr:to>
      <xdr:col>5</xdr:col>
      <xdr:colOff>158750</xdr:colOff>
      <xdr:row>35</xdr:row>
      <xdr:rowOff>82550</xdr:rowOff>
    </xdr:to>
    <xdr:graphicFrame macro="">
      <xdr:nvGraphicFramePr>
        <xdr:cNvPr id="3" name="Chart 2">
          <a:extLst>
            <a:ext uri="{FF2B5EF4-FFF2-40B4-BE49-F238E27FC236}">
              <a16:creationId xmlns:a16="http://schemas.microsoft.com/office/drawing/2014/main" id="{2BFBD8FE-06E5-D70E-B589-0A95109EFC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209550</xdr:colOff>
      <xdr:row>19</xdr:row>
      <xdr:rowOff>15875</xdr:rowOff>
    </xdr:from>
    <xdr:to>
      <xdr:col>17</xdr:col>
      <xdr:colOff>393700</xdr:colOff>
      <xdr:row>33</xdr:row>
      <xdr:rowOff>165100</xdr:rowOff>
    </xdr:to>
    <xdr:graphicFrame macro="">
      <xdr:nvGraphicFramePr>
        <xdr:cNvPr id="6" name="Chart 5">
          <a:extLst>
            <a:ext uri="{FF2B5EF4-FFF2-40B4-BE49-F238E27FC236}">
              <a16:creationId xmlns:a16="http://schemas.microsoft.com/office/drawing/2014/main" id="{F8EAE297-E793-958D-3373-A990E7E2F1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104587</xdr:colOff>
      <xdr:row>28</xdr:row>
      <xdr:rowOff>89833</xdr:rowOff>
    </xdr:from>
    <xdr:to>
      <xdr:col>9</xdr:col>
      <xdr:colOff>317499</xdr:colOff>
      <xdr:row>43</xdr:row>
      <xdr:rowOff>31563</xdr:rowOff>
    </xdr:to>
    <xdr:graphicFrame macro="">
      <xdr:nvGraphicFramePr>
        <xdr:cNvPr id="2" name="Chart 1">
          <a:extLst>
            <a:ext uri="{FF2B5EF4-FFF2-40B4-BE49-F238E27FC236}">
              <a16:creationId xmlns:a16="http://schemas.microsoft.com/office/drawing/2014/main" id="{BA5B81B4-2F76-4C6D-B34A-C191C21FED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557492</xdr:colOff>
      <xdr:row>1</xdr:row>
      <xdr:rowOff>71157</xdr:rowOff>
    </xdr:from>
    <xdr:to>
      <xdr:col>22</xdr:col>
      <xdr:colOff>522940</xdr:colOff>
      <xdr:row>16</xdr:row>
      <xdr:rowOff>12887</xdr:rowOff>
    </xdr:to>
    <xdr:graphicFrame macro="">
      <xdr:nvGraphicFramePr>
        <xdr:cNvPr id="4" name="Chart 3">
          <a:extLst>
            <a:ext uri="{FF2B5EF4-FFF2-40B4-BE49-F238E27FC236}">
              <a16:creationId xmlns:a16="http://schemas.microsoft.com/office/drawing/2014/main" id="{54DF89B2-B5CA-0AC9-03F8-84D9DEE16C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463176</xdr:colOff>
      <xdr:row>22</xdr:row>
      <xdr:rowOff>56029</xdr:rowOff>
    </xdr:from>
    <xdr:to>
      <xdr:col>21</xdr:col>
      <xdr:colOff>214780</xdr:colOff>
      <xdr:row>32</xdr:row>
      <xdr:rowOff>16992</xdr:rowOff>
    </xdr:to>
    <mc:AlternateContent xmlns:mc="http://schemas.openxmlformats.org/markup-compatibility/2006" xmlns:a14="http://schemas.microsoft.com/office/drawing/2010/main">
      <mc:Choice Requires="a14">
        <xdr:graphicFrame macro="">
          <xdr:nvGraphicFramePr>
            <xdr:cNvPr id="10" name="price">
              <a:extLst>
                <a:ext uri="{FF2B5EF4-FFF2-40B4-BE49-F238E27FC236}">
                  <a16:creationId xmlns:a16="http://schemas.microsoft.com/office/drawing/2014/main" id="{75F8D8CC-34FA-9EEE-8910-DDD464832BCB}"/>
                </a:ext>
              </a:extLst>
            </xdr:cNvPr>
            <xdr:cNvGraphicFramePr/>
          </xdr:nvGraphicFramePr>
          <xdr:xfrm>
            <a:off x="0" y="0"/>
            <a:ext cx="0" cy="0"/>
          </xdr:xfrm>
          <a:graphic>
            <a:graphicData uri="http://schemas.microsoft.com/office/drawing/2010/slicer">
              <sle:slicer xmlns:sle="http://schemas.microsoft.com/office/drawing/2010/slicer" name="price"/>
            </a:graphicData>
          </a:graphic>
        </xdr:graphicFrame>
      </mc:Choice>
      <mc:Fallback xmlns="">
        <xdr:sp macro="" textlink="">
          <xdr:nvSpPr>
            <xdr:cNvPr id="0" name=""/>
            <xdr:cNvSpPr>
              <a:spLocks noTextEdit="1"/>
            </xdr:cNvSpPr>
          </xdr:nvSpPr>
          <xdr:spPr>
            <a:xfrm>
              <a:off x="15086852" y="4164853"/>
              <a:ext cx="1572560" cy="1828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rshan" refreshedDate="46045.066670023145" createdVersion="8" refreshedVersion="8" minRefreshableVersion="3" recordCount="248" xr:uid="{1A36F818-6BDC-42B0-AD93-4C3584134A5F}">
  <cacheSource type="worksheet">
    <worksheetSource ref="A1:I249" sheet=" BMW data"/>
  </cacheSource>
  <cacheFields count="9">
    <cacheField name="model" numFmtId="0">
      <sharedItems count="18">
        <s v=" 5 Series"/>
        <s v=" 6 Series"/>
        <s v=" 1 Series"/>
        <s v=" 7 Series"/>
        <s v=" 2 Series"/>
        <s v=" 4 Series"/>
        <s v=" X3"/>
        <s v=" 3 Series"/>
        <s v=" X5"/>
        <s v=" X4"/>
        <s v=" i3"/>
        <s v=" X1"/>
        <s v=" M4"/>
        <s v=" X2"/>
        <s v=" X6"/>
        <s v=" 8 Series"/>
        <s v=" Z4"/>
        <s v=" X7"/>
      </sharedItems>
    </cacheField>
    <cacheField name="year" numFmtId="0">
      <sharedItems containsSemiMixedTypes="0" containsString="0" containsNumber="1" containsInteger="1" minValue="2013" maxValue="2020" count="8">
        <n v="2014"/>
        <n v="2018"/>
        <n v="2016"/>
        <n v="2017"/>
        <n v="2015"/>
        <n v="2019"/>
        <n v="2013"/>
        <n v="2020"/>
      </sharedItems>
    </cacheField>
    <cacheField name="price" numFmtId="0">
      <sharedItems containsSemiMixedTypes="0" containsString="0" containsNumber="1" containsInteger="1" minValue="7948" maxValue="78000" count="156">
        <n v="11200"/>
        <n v="27000"/>
        <n v="16000"/>
        <n v="12750"/>
        <n v="14500"/>
        <n v="14900"/>
        <n v="16250"/>
        <n v="14250"/>
        <n v="15500"/>
        <n v="11800"/>
        <n v="10500"/>
        <n v="22000"/>
        <n v="16500"/>
        <n v="14000"/>
        <n v="9700"/>
        <n v="12600"/>
        <n v="15100"/>
        <n v="9400"/>
        <n v="14300"/>
        <n v="17800"/>
        <n v="14400"/>
        <n v="19750"/>
        <n v="17400"/>
        <n v="16800"/>
        <n v="23000"/>
        <n v="17100"/>
        <n v="20500"/>
        <n v="11900"/>
        <n v="13000"/>
        <n v="11500"/>
        <n v="13500"/>
        <n v="18900"/>
        <n v="14600"/>
        <n v="15800"/>
        <n v="11400"/>
        <n v="12000"/>
        <n v="17500"/>
        <n v="23500"/>
        <n v="16700"/>
        <n v="18000"/>
        <n v="9200"/>
        <n v="13200"/>
        <n v="11000"/>
        <n v="18500"/>
        <n v="11100"/>
        <n v="12700"/>
        <n v="14100"/>
        <n v="10800"/>
        <n v="12500"/>
        <n v="13600"/>
        <n v="15600"/>
        <n v="15250"/>
        <n v="11700"/>
        <n v="10900"/>
        <n v="12400"/>
        <n v="12800"/>
        <n v="15000"/>
        <n v="21750"/>
        <n v="13900"/>
        <n v="15200"/>
        <n v="12150"/>
        <n v="19490"/>
        <n v="15499"/>
        <n v="10600"/>
        <n v="29998"/>
        <n v="12498"/>
        <n v="7948"/>
        <n v="13100"/>
        <n v="14800"/>
        <n v="15900"/>
        <n v="16300"/>
        <n v="19700"/>
        <n v="14450"/>
        <n v="12200"/>
        <n v="9100"/>
        <n v="12450"/>
        <n v="21000"/>
        <n v="14700"/>
        <n v="19000"/>
        <n v="15400"/>
        <n v="17950"/>
        <n v="22600"/>
        <n v="9750"/>
        <n v="21400"/>
        <n v="22500"/>
        <n v="8000"/>
        <n v="9900"/>
        <n v="9500"/>
        <n v="14200"/>
        <n v="12100"/>
        <n v="8800"/>
        <n v="13400"/>
        <n v="13700"/>
        <n v="16900"/>
        <n v="21950"/>
        <n v="8750"/>
        <n v="17000"/>
        <n v="13750"/>
        <n v="16600"/>
        <n v="16750"/>
        <n v="15700"/>
        <n v="15998"/>
        <n v="31498"/>
        <n v="27998"/>
        <n v="54998"/>
        <n v="11998"/>
        <n v="25998"/>
        <n v="31998"/>
        <n v="33998"/>
        <n v="14995"/>
        <n v="17995"/>
        <n v="14498"/>
        <n v="10998"/>
        <n v="16998"/>
        <n v="11498"/>
        <n v="29498"/>
        <n v="19498"/>
        <n v="17998"/>
        <n v="8298"/>
        <n v="61898"/>
        <n v="13298"/>
        <n v="21898"/>
        <n v="17495"/>
        <n v="14998"/>
        <n v="10498"/>
        <n v="19998"/>
        <n v="16698"/>
        <n v="27798"/>
        <n v="18298"/>
        <n v="14698"/>
        <n v="18498"/>
        <n v="21498"/>
        <n v="22998"/>
        <n v="29898"/>
        <n v="20498"/>
        <n v="27650"/>
        <n v="18650"/>
        <n v="22995"/>
        <n v="36995"/>
        <n v="26995"/>
        <n v="11995"/>
        <n v="25995"/>
        <n v="29995"/>
        <n v="21495"/>
        <n v="34498"/>
        <n v="45898"/>
        <n v="37898"/>
        <n v="23998"/>
        <n v="31000"/>
        <n v="19500"/>
        <n v="34000"/>
        <n v="28000"/>
        <n v="78000"/>
        <n v="29000"/>
        <n v="24700"/>
        <n v="24000"/>
      </sharedItems>
    </cacheField>
    <cacheField name="transmission" numFmtId="0">
      <sharedItems/>
    </cacheField>
    <cacheField name="mileage" numFmtId="0">
      <sharedItems containsSemiMixedTypes="0" containsString="0" containsNumber="1" containsInteger="1" minValue="101" maxValue="96213" count="245">
        <n v="67068"/>
        <n v="14827"/>
        <n v="62794"/>
        <n v="26676"/>
        <n v="39554"/>
        <n v="35309"/>
        <n v="38538"/>
        <n v="10401"/>
        <n v="42668"/>
        <n v="36099"/>
        <n v="74907"/>
        <n v="29840"/>
        <n v="77823"/>
        <n v="31469"/>
        <n v="19057"/>
        <n v="16570"/>
        <n v="55594"/>
        <n v="45456"/>
        <n v="22812"/>
        <n v="47348"/>
        <n v="75124"/>
        <n v="78957"/>
        <n v="29213"/>
        <n v="44498"/>
        <n v="22461"/>
        <n v="23005"/>
        <n v="22310"/>
        <n v="51994"/>
        <n v="96213"/>
        <n v="50316"/>
        <n v="44011"/>
        <n v="34960"/>
        <n v="25269"/>
        <n v="24029"/>
        <n v="22920"/>
        <n v="61818"/>
        <n v="59634"/>
        <n v="29226"/>
        <n v="33514"/>
        <n v="6522"/>
        <n v="11231"/>
        <n v="21591"/>
        <n v="79972"/>
        <n v="14037"/>
        <n v="25034"/>
        <n v="44478"/>
        <n v="74852"/>
        <n v="45856"/>
        <n v="48858"/>
        <n v="40399"/>
        <n v="17393"/>
        <n v="84816"/>
        <n v="27139"/>
        <n v="91563"/>
        <n v="32139"/>
        <n v="54120"/>
        <n v="20925"/>
        <n v="30521"/>
        <n v="16066"/>
        <n v="11524"/>
        <n v="21809"/>
        <n v="27245"/>
        <n v="35736"/>
        <n v="55782"/>
        <n v="26404"/>
        <n v="26631"/>
        <n v="24111"/>
        <n v="22763"/>
        <n v="17385"/>
        <n v="35474"/>
        <n v="16584"/>
        <n v="30273"/>
        <n v="62021"/>
        <n v="51552"/>
        <n v="29508"/>
        <n v="30865"/>
        <n v="46356"/>
        <n v="18343"/>
        <n v="13858"/>
        <n v="33752"/>
        <n v="19083"/>
        <n v="46281"/>
        <n v="54183"/>
        <n v="36701"/>
        <n v="48082"/>
        <n v="77482"/>
        <n v="32389"/>
        <n v="39235"/>
        <n v="30703"/>
        <n v="20000"/>
        <n v="34971"/>
        <n v="44900"/>
        <n v="16945"/>
        <n v="34209"/>
        <n v="14138"/>
        <n v="74375"/>
        <n v="31238"/>
        <n v="37204"/>
        <n v="26265"/>
        <n v="38838"/>
        <n v="59692"/>
        <n v="34623"/>
        <n v="29968"/>
        <n v="27748"/>
        <n v="47288"/>
        <n v="64117"/>
        <n v="79563"/>
        <n v="34842"/>
        <n v="24313"/>
        <n v="40789"/>
        <n v="66743"/>
        <n v="65612"/>
        <n v="21390"/>
        <n v="72065"/>
        <n v="62444"/>
        <n v="71558"/>
        <n v="34666"/>
        <n v="71626"/>
        <n v="38405"/>
        <n v="20681"/>
        <n v="20529"/>
        <n v="42691"/>
        <n v="10058"/>
        <n v="40337"/>
        <n v="23195"/>
        <n v="17117"/>
        <n v="22153"/>
        <n v="56038"/>
        <n v="78345"/>
        <n v="31084"/>
        <n v="5615"/>
        <n v="55751"/>
        <n v="35016"/>
        <n v="81579"/>
        <n v="31518"/>
        <n v="44008"/>
        <n v="59509"/>
        <n v="43703"/>
        <n v="36858"/>
        <n v="25786"/>
        <n v="24592"/>
        <n v="51002"/>
        <n v="26052"/>
        <n v="31528"/>
        <n v="25776"/>
        <n v="18055"/>
        <n v="63223"/>
        <n v="8719"/>
        <n v="27133"/>
        <n v="21947"/>
        <n v="80625"/>
        <n v="31501"/>
        <n v="8707"/>
        <n v="10861"/>
        <n v="16359"/>
        <n v="46913"/>
        <n v="37747"/>
        <n v="24882"/>
        <n v="24474"/>
        <n v="29394"/>
        <n v="59528"/>
        <n v="15577"/>
        <n v="52226"/>
        <n v="12330"/>
        <n v="62943"/>
        <n v="1560"/>
        <n v="1580"/>
        <n v="1500"/>
        <n v="11545"/>
        <n v="3160"/>
        <n v="1850"/>
        <n v="7272"/>
        <n v="19866"/>
        <n v="22476"/>
        <n v="42786"/>
        <n v="42410"/>
        <n v="60681"/>
        <n v="57717"/>
        <n v="8096"/>
        <n v="49151"/>
        <n v="40429"/>
        <n v="21107"/>
        <n v="33043"/>
        <n v="50378"/>
        <n v="11115"/>
        <n v="69020"/>
        <n v="2650"/>
        <n v="55834"/>
        <n v="5761"/>
        <n v="47110"/>
        <n v="54075"/>
        <n v="45152"/>
        <n v="52091"/>
        <n v="4812"/>
        <n v="37272"/>
        <n v="4250"/>
        <n v="15711"/>
        <n v="21236"/>
        <n v="24008"/>
        <n v="25994"/>
        <n v="24188"/>
        <n v="59216"/>
        <n v="21171"/>
        <n v="24259"/>
        <n v="19379"/>
        <n v="20790"/>
        <n v="2743"/>
        <n v="6000"/>
        <n v="3980"/>
        <n v="101"/>
        <n v="12725"/>
        <n v="18200"/>
        <n v="25300"/>
        <n v="7200"/>
        <n v="6100"/>
        <n v="6800"/>
        <n v="31600"/>
        <n v="8700"/>
        <n v="43600"/>
        <n v="16452"/>
        <n v="15838"/>
        <n v="6775"/>
        <n v="11234"/>
        <n v="5893"/>
        <n v="9781"/>
        <n v="17303"/>
        <n v="25334"/>
        <n v="36501"/>
        <n v="2318"/>
        <n v="14418"/>
        <n v="12160"/>
        <n v="20290"/>
        <n v="13690"/>
        <n v="22158"/>
        <n v="36174"/>
        <n v="30000"/>
        <n v="40125"/>
        <n v="20087"/>
        <n v="5000"/>
        <n v="11150"/>
        <n v="5827"/>
        <n v="14000"/>
        <n v="5196"/>
        <n v="2500"/>
        <n v="7000"/>
      </sharedItems>
    </cacheField>
    <cacheField name="fuelType" numFmtId="0">
      <sharedItems count="4">
        <s v="Diesel"/>
        <s v="Petrol"/>
        <s v="Other"/>
        <s v="Hybrid"/>
      </sharedItems>
    </cacheField>
    <cacheField name="tax" numFmtId="0">
      <sharedItems containsSemiMixedTypes="0" containsString="0" containsNumber="1" containsInteger="1" minValue="0" maxValue="305"/>
    </cacheField>
    <cacheField name="mpg" numFmtId="0">
      <sharedItems containsSemiMixedTypes="0" containsString="0" containsNumber="1" minValue="31.4" maxValue="470.8"/>
    </cacheField>
    <cacheField name="engineSize" numFmtId="0">
      <sharedItems containsSemiMixedTypes="0" containsString="0" containsNumber="1" minValue="0.6" maxValue="3"/>
    </cacheField>
  </cacheFields>
  <extLst>
    <ext xmlns:x14="http://schemas.microsoft.com/office/spreadsheetml/2009/9/main" uri="{725AE2AE-9491-48be-B2B4-4EB974FC3084}">
      <x14:pivotCacheDefinition pivotCacheId="61173208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rshan" refreshedDate="46082.658953935184" backgroundQuery="1" createdVersion="8" refreshedVersion="8" minRefreshableVersion="3" recordCount="0" supportSubquery="1" supportAdvancedDrill="1" xr:uid="{9541A510-251A-4DC0-82CA-BAE7ED1E7225}">
  <cacheSource type="external" connectionId="1"/>
  <cacheFields count="2">
    <cacheField name="[Measures].[Sum of tax]" caption="Sum of tax" numFmtId="0" hierarchy="11" level="32767"/>
    <cacheField name="[Table1].[year].[year]" caption="year" numFmtId="0" hierarchy="1" level="1">
      <sharedItems containsSemiMixedTypes="0" containsString="0" containsNumber="1" containsInteger="1" minValue="2013" maxValue="2020" count="8">
        <n v="2013"/>
        <n v="2014"/>
        <n v="2015"/>
        <n v="2016"/>
        <n v="2017"/>
        <n v="2018"/>
        <n v="2019"/>
        <n v="2020"/>
      </sharedItems>
      <extLst>
        <ext xmlns:x15="http://schemas.microsoft.com/office/spreadsheetml/2010/11/main" uri="{4F2E5C28-24EA-4eb8-9CBF-B6C8F9C3D259}">
          <x15:cachedUniqueNames>
            <x15:cachedUniqueName index="0" name="[Table1].[year].&amp;[2013]"/>
            <x15:cachedUniqueName index="1" name="[Table1].[year].&amp;[2014]"/>
            <x15:cachedUniqueName index="2" name="[Table1].[year].&amp;[2015]"/>
            <x15:cachedUniqueName index="3" name="[Table1].[year].&amp;[2016]"/>
            <x15:cachedUniqueName index="4" name="[Table1].[year].&amp;[2017]"/>
            <x15:cachedUniqueName index="5" name="[Table1].[year].&amp;[2018]"/>
            <x15:cachedUniqueName index="6" name="[Table1].[year].&amp;[2019]"/>
            <x15:cachedUniqueName index="7" name="[Table1].[year].&amp;[2020]"/>
          </x15:cachedUniqueNames>
        </ext>
      </extLst>
    </cacheField>
  </cacheFields>
  <cacheHierarchies count="12">
    <cacheHierarchy uniqueName="[Table1].[model]" caption="model" attribute="1" defaultMemberUniqueName="[Table1].[model].[All]" allUniqueName="[Table1].[model].[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price]" caption="price" attribute="1" defaultMemberUniqueName="[Table1].[price].[All]" allUniqueName="[Table1].[price].[All]" dimensionUniqueName="[Table1]" displayFolder="" count="0" memberValueDatatype="20" unbalanced="0"/>
    <cacheHierarchy uniqueName="[Table1].[transmission]" caption="transmission" attribute="1" defaultMemberUniqueName="[Table1].[transmission].[All]" allUniqueName="[Table1].[transmission].[All]" dimensionUniqueName="[Table1]" displayFolder="" count="0" memberValueDatatype="130" unbalanced="0"/>
    <cacheHierarchy uniqueName="[Table1].[mileage]" caption="mileage" attribute="1" defaultMemberUniqueName="[Table1].[mileage].[All]" allUniqueName="[Table1].[mileage].[All]" dimensionUniqueName="[Table1]" displayFolder="" count="0" memberValueDatatype="20" unbalanced="0"/>
    <cacheHierarchy uniqueName="[Table1].[fuelType]" caption="fuelType" attribute="1" defaultMemberUniqueName="[Table1].[fuelType].[All]" allUniqueName="[Table1].[fuelType].[All]" dimensionUniqueName="[Table1]" displayFolder="" count="0" memberValueDatatype="130" unbalanced="0"/>
    <cacheHierarchy uniqueName="[Table1].[tax]" caption="tax" attribute="1" defaultMemberUniqueName="[Table1].[tax].[All]" allUniqueName="[Table1].[tax].[All]" dimensionUniqueName="[Table1]" displayFolder="" count="0" memberValueDatatype="20" unbalanced="0"/>
    <cacheHierarchy uniqueName="[Table1].[mpg]" caption="mpg" attribute="1" defaultMemberUniqueName="[Table1].[mpg].[All]" allUniqueName="[Table1].[mpg].[All]" dimensionUniqueName="[Table1]" displayFolder="" count="0" memberValueDatatype="5" unbalanced="0"/>
    <cacheHierarchy uniqueName="[Table1].[engineSize]" caption="engineSize" attribute="1" defaultMemberUniqueName="[Table1].[engineSize].[All]" allUniqueName="[Table1].[engineSize].[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ax]" caption="Sum of tax"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rshan" refreshedDate="46092.854357291668" createdVersion="8" refreshedVersion="8" minRefreshableVersion="3" recordCount="248" xr:uid="{63465D17-A4BC-42E6-99ED-124CF569089C}">
  <cacheSource type="worksheet">
    <worksheetSource name="Table1"/>
  </cacheSource>
  <cacheFields count="9">
    <cacheField name="model" numFmtId="0">
      <sharedItems count="18">
        <s v=" 5 Series"/>
        <s v=" 6 Series"/>
        <s v=" 1 Series"/>
        <s v=" 7 Series"/>
        <s v=" 2 Series"/>
        <s v=" 4 Series"/>
        <s v=" X3"/>
        <s v=" 3 Series"/>
        <s v=" X5"/>
        <s v=" X4"/>
        <s v=" i3"/>
        <s v=" X1"/>
        <s v=" M4"/>
        <s v=" X2"/>
        <s v=" X6"/>
        <s v=" 8 Series"/>
        <s v=" Z4"/>
        <s v=" X7"/>
      </sharedItems>
    </cacheField>
    <cacheField name="year" numFmtId="0">
      <sharedItems containsSemiMixedTypes="0" containsString="0" containsNumber="1" containsInteger="1" minValue="2013" maxValue="2020" count="8">
        <n v="2014"/>
        <n v="2018"/>
        <n v="2016"/>
        <n v="2017"/>
        <n v="2015"/>
        <n v="2019"/>
        <n v="2013"/>
        <n v="2020"/>
      </sharedItems>
    </cacheField>
    <cacheField name="price" numFmtId="0">
      <sharedItems containsSemiMixedTypes="0" containsString="0" containsNumber="1" containsInteger="1" minValue="7948" maxValue="78000"/>
    </cacheField>
    <cacheField name="transmission" numFmtId="0">
      <sharedItems count="3">
        <s v="Automatic"/>
        <s v="Manual"/>
        <s v="Semi-Auto"/>
      </sharedItems>
    </cacheField>
    <cacheField name="mileage" numFmtId="0">
      <sharedItems containsSemiMixedTypes="0" containsString="0" containsNumber="1" containsInteger="1" minValue="101" maxValue="96213"/>
    </cacheField>
    <cacheField name="fuelType" numFmtId="0">
      <sharedItems/>
    </cacheField>
    <cacheField name="tax" numFmtId="0">
      <sharedItems containsSemiMixedTypes="0" containsString="0" containsNumber="1" containsInteger="1" minValue="0" maxValue="305"/>
    </cacheField>
    <cacheField name="mpg" numFmtId="0">
      <sharedItems containsSemiMixedTypes="0" containsString="0" containsNumber="1" minValue="31.4" maxValue="470.8"/>
    </cacheField>
    <cacheField name="engineSize" numFmtId="0">
      <sharedItems containsSemiMixedTypes="0" containsString="0" containsNumber="1" minValue="0.6" maxValue="3"/>
    </cacheField>
  </cacheFields>
  <extLst>
    <ext xmlns:x14="http://schemas.microsoft.com/office/spreadsheetml/2009/9/main" uri="{725AE2AE-9491-48be-B2B4-4EB974FC3084}">
      <x14:pivotCacheDefinition pivotCacheId="15349133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8">
  <r>
    <x v="0"/>
    <x v="0"/>
    <x v="0"/>
    <s v="Automatic"/>
    <x v="0"/>
    <x v="0"/>
    <n v="125"/>
    <n v="57.6"/>
    <n v="2"/>
  </r>
  <r>
    <x v="1"/>
    <x v="1"/>
    <x v="1"/>
    <s v="Automatic"/>
    <x v="1"/>
    <x v="1"/>
    <n v="145"/>
    <n v="42.8"/>
    <n v="2"/>
  </r>
  <r>
    <x v="0"/>
    <x v="2"/>
    <x v="2"/>
    <s v="Automatic"/>
    <x v="2"/>
    <x v="0"/>
    <n v="160"/>
    <n v="51.4"/>
    <n v="3"/>
  </r>
  <r>
    <x v="2"/>
    <x v="3"/>
    <x v="3"/>
    <s v="Automatic"/>
    <x v="3"/>
    <x v="0"/>
    <n v="145"/>
    <n v="72.400000000000006"/>
    <n v="1.5"/>
  </r>
  <r>
    <x v="3"/>
    <x v="0"/>
    <x v="4"/>
    <s v="Automatic"/>
    <x v="4"/>
    <x v="0"/>
    <n v="160"/>
    <n v="50.4"/>
    <n v="3"/>
  </r>
  <r>
    <x v="0"/>
    <x v="2"/>
    <x v="5"/>
    <s v="Automatic"/>
    <x v="5"/>
    <x v="0"/>
    <n v="125"/>
    <n v="60.1"/>
    <n v="2"/>
  </r>
  <r>
    <x v="0"/>
    <x v="3"/>
    <x v="2"/>
    <s v="Automatic"/>
    <x v="6"/>
    <x v="0"/>
    <n v="125"/>
    <n v="60.1"/>
    <n v="2"/>
  </r>
  <r>
    <x v="4"/>
    <x v="1"/>
    <x v="6"/>
    <s v="Manual"/>
    <x v="7"/>
    <x v="1"/>
    <n v="145"/>
    <n v="52.3"/>
    <n v="1.5"/>
  </r>
  <r>
    <x v="5"/>
    <x v="3"/>
    <x v="7"/>
    <s v="Manual"/>
    <x v="8"/>
    <x v="0"/>
    <n v="30"/>
    <n v="62.8"/>
    <n v="2"/>
  </r>
  <r>
    <x v="0"/>
    <x v="2"/>
    <x v="7"/>
    <s v="Automatic"/>
    <x v="9"/>
    <x v="0"/>
    <n v="20"/>
    <n v="68.900000000000006"/>
    <n v="2"/>
  </r>
  <r>
    <x v="6"/>
    <x v="3"/>
    <x v="8"/>
    <s v="Manual"/>
    <x v="10"/>
    <x v="0"/>
    <n v="145"/>
    <n v="52.3"/>
    <n v="2"/>
  </r>
  <r>
    <x v="2"/>
    <x v="3"/>
    <x v="9"/>
    <s v="Manual"/>
    <x v="11"/>
    <x v="0"/>
    <n v="20"/>
    <n v="68.900000000000006"/>
    <n v="2"/>
  </r>
  <r>
    <x v="6"/>
    <x v="2"/>
    <x v="8"/>
    <s v="Automatic"/>
    <x v="12"/>
    <x v="0"/>
    <n v="125"/>
    <n v="54.3"/>
    <n v="2"/>
  </r>
  <r>
    <x v="4"/>
    <x v="4"/>
    <x v="10"/>
    <s v="Manual"/>
    <x v="13"/>
    <x v="0"/>
    <n v="20"/>
    <n v="68.900000000000006"/>
    <n v="2"/>
  </r>
  <r>
    <x v="6"/>
    <x v="3"/>
    <x v="11"/>
    <s v="Automatic"/>
    <x v="14"/>
    <x v="0"/>
    <n v="145"/>
    <n v="54.3"/>
    <n v="2"/>
  </r>
  <r>
    <x v="7"/>
    <x v="3"/>
    <x v="12"/>
    <s v="Manual"/>
    <x v="15"/>
    <x v="0"/>
    <n v="125"/>
    <n v="58.9"/>
    <n v="2"/>
  </r>
  <r>
    <x v="7"/>
    <x v="3"/>
    <x v="7"/>
    <s v="Automatic"/>
    <x v="16"/>
    <x v="2"/>
    <n v="135"/>
    <n v="148.69999999999999"/>
    <n v="2"/>
  </r>
  <r>
    <x v="7"/>
    <x v="3"/>
    <x v="2"/>
    <s v="Automatic"/>
    <x v="17"/>
    <x v="0"/>
    <n v="30"/>
    <n v="64.2"/>
    <n v="2"/>
  </r>
  <r>
    <x v="2"/>
    <x v="3"/>
    <x v="8"/>
    <s v="Automatic"/>
    <x v="18"/>
    <x v="0"/>
    <n v="20"/>
    <n v="68.900000000000006"/>
    <n v="1.5"/>
  </r>
  <r>
    <x v="5"/>
    <x v="0"/>
    <x v="13"/>
    <s v="Automatic"/>
    <x v="19"/>
    <x v="0"/>
    <n v="125"/>
    <n v="60.1"/>
    <n v="2"/>
  </r>
  <r>
    <x v="2"/>
    <x v="4"/>
    <x v="14"/>
    <s v="Automatic"/>
    <x v="20"/>
    <x v="0"/>
    <n v="20"/>
    <n v="70.599999999999994"/>
    <n v="2"/>
  </r>
  <r>
    <x v="7"/>
    <x v="4"/>
    <x v="15"/>
    <s v="Automatic"/>
    <x v="21"/>
    <x v="0"/>
    <n v="30"/>
    <n v="62.8"/>
    <n v="2"/>
  </r>
  <r>
    <x v="7"/>
    <x v="2"/>
    <x v="16"/>
    <s v="Automatic"/>
    <x v="22"/>
    <x v="0"/>
    <n v="30"/>
    <n v="64.2"/>
    <n v="2"/>
  </r>
  <r>
    <x v="2"/>
    <x v="2"/>
    <x v="17"/>
    <s v="Manual"/>
    <x v="23"/>
    <x v="0"/>
    <n v="0"/>
    <n v="83.1"/>
    <n v="1.5"/>
  </r>
  <r>
    <x v="2"/>
    <x v="2"/>
    <x v="18"/>
    <s v="Automatic"/>
    <x v="24"/>
    <x v="0"/>
    <n v="20"/>
    <n v="67.3"/>
    <n v="2"/>
  </r>
  <r>
    <x v="2"/>
    <x v="2"/>
    <x v="0"/>
    <s v="Manual"/>
    <x v="25"/>
    <x v="1"/>
    <n v="125"/>
    <n v="53.3"/>
    <n v="1.5"/>
  </r>
  <r>
    <x v="7"/>
    <x v="5"/>
    <x v="19"/>
    <s v="Automatic"/>
    <x v="26"/>
    <x v="0"/>
    <n v="145"/>
    <n v="64.2"/>
    <n v="2"/>
  </r>
  <r>
    <x v="7"/>
    <x v="2"/>
    <x v="20"/>
    <s v="Automatic"/>
    <x v="27"/>
    <x v="0"/>
    <n v="30"/>
    <n v="62.8"/>
    <n v="2"/>
  </r>
  <r>
    <x v="8"/>
    <x v="2"/>
    <x v="21"/>
    <s v="Automatic"/>
    <x v="28"/>
    <x v="0"/>
    <n v="165"/>
    <n v="52.3"/>
    <n v="2"/>
  </r>
  <r>
    <x v="6"/>
    <x v="4"/>
    <x v="22"/>
    <s v="Automatic"/>
    <x v="29"/>
    <x v="0"/>
    <n v="200"/>
    <n v="47.9"/>
    <n v="3"/>
  </r>
  <r>
    <x v="5"/>
    <x v="3"/>
    <x v="23"/>
    <s v="Automatic"/>
    <x v="30"/>
    <x v="0"/>
    <n v="150"/>
    <n v="65.7"/>
    <n v="2"/>
  </r>
  <r>
    <x v="9"/>
    <x v="3"/>
    <x v="24"/>
    <s v="Automatic"/>
    <x v="31"/>
    <x v="0"/>
    <n v="150"/>
    <n v="54.3"/>
    <n v="2"/>
  </r>
  <r>
    <x v="10"/>
    <x v="2"/>
    <x v="25"/>
    <s v="Automatic"/>
    <x v="32"/>
    <x v="2"/>
    <n v="0"/>
    <n v="470.8"/>
    <n v="0.6"/>
  </r>
  <r>
    <x v="2"/>
    <x v="3"/>
    <x v="26"/>
    <s v="Automatic"/>
    <x v="33"/>
    <x v="1"/>
    <n v="145"/>
    <n v="39.799999999999997"/>
    <n v="3"/>
  </r>
  <r>
    <x v="2"/>
    <x v="3"/>
    <x v="27"/>
    <s v="Manual"/>
    <x v="34"/>
    <x v="1"/>
    <n v="145"/>
    <n v="53.3"/>
    <n v="1.5"/>
  </r>
  <r>
    <x v="4"/>
    <x v="3"/>
    <x v="28"/>
    <s v="Automatic"/>
    <x v="35"/>
    <x v="2"/>
    <n v="0"/>
    <n v="141.19999999999999"/>
    <n v="1.5"/>
  </r>
  <r>
    <x v="7"/>
    <x v="4"/>
    <x v="29"/>
    <s v="Manual"/>
    <x v="36"/>
    <x v="0"/>
    <n v="125"/>
    <n v="61.4"/>
    <n v="2"/>
  </r>
  <r>
    <x v="2"/>
    <x v="2"/>
    <x v="30"/>
    <s v="Manual"/>
    <x v="37"/>
    <x v="0"/>
    <n v="30"/>
    <n v="62.8"/>
    <n v="2"/>
  </r>
  <r>
    <x v="11"/>
    <x v="3"/>
    <x v="31"/>
    <s v="Automatic"/>
    <x v="38"/>
    <x v="0"/>
    <n v="145"/>
    <n v="60.1"/>
    <n v="2"/>
  </r>
  <r>
    <x v="2"/>
    <x v="1"/>
    <x v="32"/>
    <s v="Automatic"/>
    <x v="39"/>
    <x v="1"/>
    <n v="145"/>
    <n v="37.200000000000003"/>
    <n v="1.5"/>
  </r>
  <r>
    <x v="7"/>
    <x v="2"/>
    <x v="33"/>
    <s v="Manual"/>
    <x v="40"/>
    <x v="1"/>
    <n v="145"/>
    <n v="47.9"/>
    <n v="2"/>
  </r>
  <r>
    <x v="2"/>
    <x v="2"/>
    <x v="34"/>
    <s v="Manual"/>
    <x v="41"/>
    <x v="1"/>
    <n v="125"/>
    <n v="53.3"/>
    <n v="1.5"/>
  </r>
  <r>
    <x v="6"/>
    <x v="6"/>
    <x v="35"/>
    <s v="Automatic"/>
    <x v="42"/>
    <x v="0"/>
    <n v="200"/>
    <n v="47.1"/>
    <n v="3"/>
  </r>
  <r>
    <x v="2"/>
    <x v="1"/>
    <x v="36"/>
    <s v="Automatic"/>
    <x v="43"/>
    <x v="1"/>
    <n v="145"/>
    <n v="54.3"/>
    <n v="1.5"/>
  </r>
  <r>
    <x v="0"/>
    <x v="3"/>
    <x v="37"/>
    <s v="Automatic"/>
    <x v="44"/>
    <x v="0"/>
    <n v="200"/>
    <n v="47.9"/>
    <n v="3"/>
  </r>
  <r>
    <x v="11"/>
    <x v="2"/>
    <x v="38"/>
    <s v="Automatic"/>
    <x v="45"/>
    <x v="0"/>
    <n v="125"/>
    <n v="60.1"/>
    <n v="2"/>
  </r>
  <r>
    <x v="6"/>
    <x v="3"/>
    <x v="39"/>
    <s v="Automatic"/>
    <x v="46"/>
    <x v="0"/>
    <n v="150"/>
    <n v="47.1"/>
    <n v="3"/>
  </r>
  <r>
    <x v="5"/>
    <x v="2"/>
    <x v="8"/>
    <s v="Automatic"/>
    <x v="47"/>
    <x v="0"/>
    <n v="30"/>
    <n v="65.7"/>
    <n v="2"/>
  </r>
  <r>
    <x v="2"/>
    <x v="2"/>
    <x v="40"/>
    <s v="Manual"/>
    <x v="48"/>
    <x v="0"/>
    <n v="0"/>
    <n v="83.1"/>
    <n v="1.5"/>
  </r>
  <r>
    <x v="2"/>
    <x v="3"/>
    <x v="0"/>
    <s v="Manual"/>
    <x v="49"/>
    <x v="0"/>
    <n v="145"/>
    <n v="68.900000000000006"/>
    <n v="2"/>
  </r>
  <r>
    <x v="2"/>
    <x v="2"/>
    <x v="41"/>
    <s v="Manual"/>
    <x v="50"/>
    <x v="0"/>
    <n v="30"/>
    <n v="65.7"/>
    <n v="2"/>
  </r>
  <r>
    <x v="0"/>
    <x v="0"/>
    <x v="42"/>
    <s v="Automatic"/>
    <x v="51"/>
    <x v="0"/>
    <n v="30"/>
    <n v="62.8"/>
    <n v="2"/>
  </r>
  <r>
    <x v="7"/>
    <x v="3"/>
    <x v="43"/>
    <s v="Automatic"/>
    <x v="52"/>
    <x v="0"/>
    <n v="160"/>
    <n v="51.4"/>
    <n v="3"/>
  </r>
  <r>
    <x v="2"/>
    <x v="3"/>
    <x v="3"/>
    <s v="Automatic"/>
    <x v="53"/>
    <x v="0"/>
    <n v="125"/>
    <n v="60.1"/>
    <n v="2"/>
  </r>
  <r>
    <x v="7"/>
    <x v="0"/>
    <x v="13"/>
    <s v="Manual"/>
    <x v="54"/>
    <x v="1"/>
    <n v="205"/>
    <n v="43.5"/>
    <n v="2"/>
  </r>
  <r>
    <x v="11"/>
    <x v="3"/>
    <x v="13"/>
    <s v="Automatic"/>
    <x v="55"/>
    <x v="0"/>
    <n v="30"/>
    <n v="65.7"/>
    <n v="2"/>
  </r>
  <r>
    <x v="11"/>
    <x v="3"/>
    <x v="13"/>
    <s v="Manual"/>
    <x v="56"/>
    <x v="0"/>
    <n v="150"/>
    <n v="68.900000000000006"/>
    <n v="2"/>
  </r>
  <r>
    <x v="7"/>
    <x v="2"/>
    <x v="3"/>
    <s v="Manual"/>
    <x v="57"/>
    <x v="0"/>
    <n v="20"/>
    <n v="68.900000000000006"/>
    <n v="2"/>
  </r>
  <r>
    <x v="11"/>
    <x v="1"/>
    <x v="39"/>
    <s v="Manual"/>
    <x v="58"/>
    <x v="1"/>
    <n v="150"/>
    <n v="51.4"/>
    <n v="1.5"/>
  </r>
  <r>
    <x v="2"/>
    <x v="4"/>
    <x v="44"/>
    <s v="Manual"/>
    <x v="59"/>
    <x v="0"/>
    <n v="0"/>
    <n v="83.1"/>
    <n v="1.5"/>
  </r>
  <r>
    <x v="2"/>
    <x v="3"/>
    <x v="45"/>
    <s v="Manual"/>
    <x v="60"/>
    <x v="1"/>
    <n v="145"/>
    <n v="53.3"/>
    <n v="1.5"/>
  </r>
  <r>
    <x v="2"/>
    <x v="3"/>
    <x v="4"/>
    <s v="Automatic"/>
    <x v="61"/>
    <x v="0"/>
    <n v="145"/>
    <n v="68.900000000000006"/>
    <n v="2"/>
  </r>
  <r>
    <x v="7"/>
    <x v="6"/>
    <x v="3"/>
    <s v="Automatic"/>
    <x v="62"/>
    <x v="0"/>
    <n v="125"/>
    <n v="58.9"/>
    <n v="2"/>
  </r>
  <r>
    <x v="11"/>
    <x v="3"/>
    <x v="46"/>
    <s v="Automatic"/>
    <x v="63"/>
    <x v="0"/>
    <n v="145"/>
    <n v="65.7"/>
    <n v="2"/>
  </r>
  <r>
    <x v="2"/>
    <x v="2"/>
    <x v="47"/>
    <s v="Manual"/>
    <x v="64"/>
    <x v="1"/>
    <n v="125"/>
    <n v="53.3"/>
    <n v="1.5"/>
  </r>
  <r>
    <x v="2"/>
    <x v="2"/>
    <x v="28"/>
    <s v="Manual"/>
    <x v="65"/>
    <x v="1"/>
    <n v="125"/>
    <n v="52.3"/>
    <n v="1.5"/>
  </r>
  <r>
    <x v="2"/>
    <x v="2"/>
    <x v="48"/>
    <s v="Manual"/>
    <x v="66"/>
    <x v="1"/>
    <n v="145"/>
    <n v="47.1"/>
    <n v="1.6"/>
  </r>
  <r>
    <x v="7"/>
    <x v="3"/>
    <x v="49"/>
    <s v="Manual"/>
    <x v="67"/>
    <x v="1"/>
    <n v="145"/>
    <n v="48.7"/>
    <n v="2"/>
  </r>
  <r>
    <x v="7"/>
    <x v="2"/>
    <x v="45"/>
    <s v="Manual"/>
    <x v="68"/>
    <x v="0"/>
    <n v="20"/>
    <n v="72.400000000000006"/>
    <n v="2"/>
  </r>
  <r>
    <x v="0"/>
    <x v="2"/>
    <x v="50"/>
    <s v="Automatic"/>
    <x v="69"/>
    <x v="0"/>
    <n v="125"/>
    <n v="60.1"/>
    <n v="2"/>
  </r>
  <r>
    <x v="5"/>
    <x v="2"/>
    <x v="51"/>
    <s v="Manual"/>
    <x v="70"/>
    <x v="0"/>
    <n v="30"/>
    <n v="62.8"/>
    <n v="2"/>
  </r>
  <r>
    <x v="2"/>
    <x v="1"/>
    <x v="52"/>
    <s v="Manual"/>
    <x v="71"/>
    <x v="0"/>
    <n v="145"/>
    <n v="53.3"/>
    <n v="1.5"/>
  </r>
  <r>
    <x v="4"/>
    <x v="3"/>
    <x v="53"/>
    <s v="Manual"/>
    <x v="72"/>
    <x v="0"/>
    <n v="145"/>
    <n v="65.7"/>
    <n v="2"/>
  </r>
  <r>
    <x v="0"/>
    <x v="2"/>
    <x v="20"/>
    <s v="Automatic"/>
    <x v="73"/>
    <x v="0"/>
    <n v="30"/>
    <n v="62.8"/>
    <n v="2"/>
  </r>
  <r>
    <x v="2"/>
    <x v="2"/>
    <x v="44"/>
    <s v="Manual"/>
    <x v="74"/>
    <x v="1"/>
    <n v="125"/>
    <n v="53.3"/>
    <n v="1.5"/>
  </r>
  <r>
    <x v="2"/>
    <x v="3"/>
    <x v="44"/>
    <s v="Manual"/>
    <x v="75"/>
    <x v="0"/>
    <n v="145"/>
    <n v="72.400000000000006"/>
    <n v="1.5"/>
  </r>
  <r>
    <x v="0"/>
    <x v="0"/>
    <x v="54"/>
    <s v="Automatic"/>
    <x v="76"/>
    <x v="0"/>
    <n v="30"/>
    <n v="62.8"/>
    <n v="2"/>
  </r>
  <r>
    <x v="2"/>
    <x v="2"/>
    <x v="55"/>
    <s v="Manual"/>
    <x v="77"/>
    <x v="0"/>
    <n v="20"/>
    <n v="70.599999999999994"/>
    <n v="1.5"/>
  </r>
  <r>
    <x v="0"/>
    <x v="0"/>
    <x v="56"/>
    <s v="Automatic"/>
    <x v="78"/>
    <x v="0"/>
    <n v="125"/>
    <n v="57.6"/>
    <n v="2"/>
  </r>
  <r>
    <x v="4"/>
    <x v="3"/>
    <x v="3"/>
    <s v="Manual"/>
    <x v="79"/>
    <x v="1"/>
    <n v="125"/>
    <n v="52.3"/>
    <n v="1.5"/>
  </r>
  <r>
    <x v="6"/>
    <x v="2"/>
    <x v="57"/>
    <s v="Automatic"/>
    <x v="80"/>
    <x v="0"/>
    <n v="150"/>
    <n v="54.3"/>
    <n v="2"/>
  </r>
  <r>
    <x v="4"/>
    <x v="3"/>
    <x v="58"/>
    <s v="Automatic"/>
    <x v="81"/>
    <x v="1"/>
    <n v="125"/>
    <n v="51.4"/>
    <n v="1.5"/>
  </r>
  <r>
    <x v="11"/>
    <x v="3"/>
    <x v="13"/>
    <s v="Automatic"/>
    <x v="82"/>
    <x v="0"/>
    <n v="150"/>
    <n v="65.7"/>
    <n v="2"/>
  </r>
  <r>
    <x v="11"/>
    <x v="3"/>
    <x v="59"/>
    <s v="Automatic"/>
    <x v="83"/>
    <x v="0"/>
    <n v="30"/>
    <n v="65.7"/>
    <n v="2"/>
  </r>
  <r>
    <x v="7"/>
    <x v="3"/>
    <x v="30"/>
    <s v="Automatic"/>
    <x v="84"/>
    <x v="1"/>
    <n v="150"/>
    <n v="51.4"/>
    <n v="2"/>
  </r>
  <r>
    <x v="11"/>
    <x v="2"/>
    <x v="60"/>
    <s v="Manual"/>
    <x v="85"/>
    <x v="0"/>
    <n v="20"/>
    <n v="68.900000000000006"/>
    <n v="2"/>
  </r>
  <r>
    <x v="4"/>
    <x v="3"/>
    <x v="2"/>
    <s v="Automatic"/>
    <x v="86"/>
    <x v="2"/>
    <n v="0"/>
    <n v="141.19999999999999"/>
    <n v="1.5"/>
  </r>
  <r>
    <x v="0"/>
    <x v="2"/>
    <x v="13"/>
    <s v="Automatic"/>
    <x v="87"/>
    <x v="0"/>
    <n v="30"/>
    <n v="62.8"/>
    <n v="2"/>
  </r>
  <r>
    <x v="7"/>
    <x v="1"/>
    <x v="61"/>
    <s v="Automatic"/>
    <x v="88"/>
    <x v="0"/>
    <n v="145"/>
    <n v="57.6"/>
    <n v="2"/>
  </r>
  <r>
    <x v="2"/>
    <x v="4"/>
    <x v="62"/>
    <s v="Semi-Auto"/>
    <x v="89"/>
    <x v="0"/>
    <n v="125"/>
    <n v="60.1"/>
    <n v="2"/>
  </r>
  <r>
    <x v="4"/>
    <x v="3"/>
    <x v="28"/>
    <s v="Semi-Auto"/>
    <x v="90"/>
    <x v="0"/>
    <n v="150"/>
    <n v="72.400000000000006"/>
    <n v="1.5"/>
  </r>
  <r>
    <x v="2"/>
    <x v="0"/>
    <x v="63"/>
    <s v="Semi-Auto"/>
    <x v="91"/>
    <x v="0"/>
    <n v="30"/>
    <n v="64.2"/>
    <n v="2"/>
  </r>
  <r>
    <x v="6"/>
    <x v="3"/>
    <x v="24"/>
    <s v="Semi-Auto"/>
    <x v="92"/>
    <x v="0"/>
    <n v="150"/>
    <n v="54.3"/>
    <n v="2"/>
  </r>
  <r>
    <x v="12"/>
    <x v="2"/>
    <x v="64"/>
    <s v="Semi-Auto"/>
    <x v="93"/>
    <x v="1"/>
    <n v="300"/>
    <n v="34"/>
    <n v="3"/>
  </r>
  <r>
    <x v="2"/>
    <x v="3"/>
    <x v="65"/>
    <s v="Manual"/>
    <x v="94"/>
    <x v="0"/>
    <n v="20"/>
    <n v="72.400000000000006"/>
    <n v="1.5"/>
  </r>
  <r>
    <x v="2"/>
    <x v="4"/>
    <x v="66"/>
    <s v="Manual"/>
    <x v="95"/>
    <x v="0"/>
    <n v="30"/>
    <n v="65.7"/>
    <n v="2"/>
  </r>
  <r>
    <x v="11"/>
    <x v="3"/>
    <x v="19"/>
    <s v="Automatic"/>
    <x v="96"/>
    <x v="0"/>
    <n v="145"/>
    <n v="55.4"/>
    <n v="2"/>
  </r>
  <r>
    <x v="7"/>
    <x v="4"/>
    <x v="67"/>
    <s v="Manual"/>
    <x v="97"/>
    <x v="0"/>
    <n v="30"/>
    <n v="64.2"/>
    <n v="2"/>
  </r>
  <r>
    <x v="2"/>
    <x v="3"/>
    <x v="34"/>
    <s v="Manual"/>
    <x v="98"/>
    <x v="0"/>
    <n v="0"/>
    <n v="83.1"/>
    <n v="1.5"/>
  </r>
  <r>
    <x v="7"/>
    <x v="2"/>
    <x v="68"/>
    <s v="Automatic"/>
    <x v="99"/>
    <x v="0"/>
    <n v="125"/>
    <n v="57.6"/>
    <n v="2"/>
  </r>
  <r>
    <x v="6"/>
    <x v="2"/>
    <x v="69"/>
    <s v="Automatic"/>
    <x v="100"/>
    <x v="0"/>
    <n v="145"/>
    <n v="54.3"/>
    <n v="2"/>
  </r>
  <r>
    <x v="7"/>
    <x v="2"/>
    <x v="70"/>
    <s v="Automatic"/>
    <x v="101"/>
    <x v="0"/>
    <n v="125"/>
    <n v="57.6"/>
    <n v="2"/>
  </r>
  <r>
    <x v="7"/>
    <x v="3"/>
    <x v="68"/>
    <s v="Manual"/>
    <x v="102"/>
    <x v="0"/>
    <n v="30"/>
    <n v="64.2"/>
    <n v="2"/>
  </r>
  <r>
    <x v="7"/>
    <x v="3"/>
    <x v="71"/>
    <s v="Automatic"/>
    <x v="103"/>
    <x v="0"/>
    <n v="200"/>
    <n v="49.6"/>
    <n v="3"/>
  </r>
  <r>
    <x v="7"/>
    <x v="4"/>
    <x v="72"/>
    <s v="Automatic"/>
    <x v="104"/>
    <x v="0"/>
    <n v="30"/>
    <n v="62.8"/>
    <n v="2"/>
  </r>
  <r>
    <x v="0"/>
    <x v="2"/>
    <x v="30"/>
    <s v="Automatic"/>
    <x v="105"/>
    <x v="0"/>
    <n v="30"/>
    <n v="65.7"/>
    <n v="2"/>
  </r>
  <r>
    <x v="0"/>
    <x v="4"/>
    <x v="53"/>
    <s v="Automatic"/>
    <x v="106"/>
    <x v="0"/>
    <n v="125"/>
    <n v="60.1"/>
    <n v="2"/>
  </r>
  <r>
    <x v="7"/>
    <x v="2"/>
    <x v="73"/>
    <s v="Manual"/>
    <x v="107"/>
    <x v="0"/>
    <n v="30"/>
    <n v="67.3"/>
    <n v="2"/>
  </r>
  <r>
    <x v="4"/>
    <x v="2"/>
    <x v="63"/>
    <s v="Manual"/>
    <x v="108"/>
    <x v="0"/>
    <n v="0"/>
    <n v="74.3"/>
    <n v="1.5"/>
  </r>
  <r>
    <x v="4"/>
    <x v="4"/>
    <x v="74"/>
    <s v="Manual"/>
    <x v="109"/>
    <x v="0"/>
    <n v="0"/>
    <n v="74.3"/>
    <n v="1.5"/>
  </r>
  <r>
    <x v="7"/>
    <x v="3"/>
    <x v="15"/>
    <s v="Automatic"/>
    <x v="110"/>
    <x v="0"/>
    <n v="30"/>
    <n v="67.3"/>
    <n v="2"/>
  </r>
  <r>
    <x v="0"/>
    <x v="2"/>
    <x v="49"/>
    <s v="Automatic"/>
    <x v="111"/>
    <x v="0"/>
    <n v="30"/>
    <n v="62.8"/>
    <n v="2"/>
  </r>
  <r>
    <x v="2"/>
    <x v="2"/>
    <x v="52"/>
    <s v="Manual"/>
    <x v="112"/>
    <x v="0"/>
    <n v="20"/>
    <n v="72.400000000000006"/>
    <n v="1.5"/>
  </r>
  <r>
    <x v="7"/>
    <x v="3"/>
    <x v="75"/>
    <s v="Automatic"/>
    <x v="113"/>
    <x v="0"/>
    <n v="20"/>
    <n v="70.599999999999994"/>
    <n v="2"/>
  </r>
  <r>
    <x v="0"/>
    <x v="2"/>
    <x v="30"/>
    <s v="Automatic"/>
    <x v="114"/>
    <x v="0"/>
    <n v="125"/>
    <n v="60.1"/>
    <n v="2"/>
  </r>
  <r>
    <x v="6"/>
    <x v="6"/>
    <x v="3"/>
    <s v="Automatic"/>
    <x v="115"/>
    <x v="0"/>
    <n v="160"/>
    <n v="50.4"/>
    <n v="2"/>
  </r>
  <r>
    <x v="11"/>
    <x v="3"/>
    <x v="38"/>
    <s v="Automatic"/>
    <x v="116"/>
    <x v="0"/>
    <n v="145"/>
    <n v="65.7"/>
    <n v="2"/>
  </r>
  <r>
    <x v="2"/>
    <x v="2"/>
    <x v="34"/>
    <s v="Manual"/>
    <x v="34"/>
    <x v="0"/>
    <n v="20"/>
    <n v="72.400000000000006"/>
    <n v="1.5"/>
  </r>
  <r>
    <x v="8"/>
    <x v="2"/>
    <x v="76"/>
    <s v="Automatic"/>
    <x v="117"/>
    <x v="2"/>
    <n v="0"/>
    <n v="85.6"/>
    <n v="2"/>
  </r>
  <r>
    <x v="11"/>
    <x v="3"/>
    <x v="77"/>
    <s v="Manual"/>
    <x v="118"/>
    <x v="0"/>
    <n v="145"/>
    <n v="68.900000000000006"/>
    <n v="2"/>
  </r>
  <r>
    <x v="7"/>
    <x v="1"/>
    <x v="78"/>
    <s v="Automatic"/>
    <x v="119"/>
    <x v="0"/>
    <n v="145"/>
    <n v="64.2"/>
    <n v="2"/>
  </r>
  <r>
    <x v="7"/>
    <x v="3"/>
    <x v="79"/>
    <s v="Automatic"/>
    <x v="120"/>
    <x v="0"/>
    <n v="145"/>
    <n v="65.7"/>
    <n v="2"/>
  </r>
  <r>
    <x v="6"/>
    <x v="2"/>
    <x v="78"/>
    <s v="Automatic"/>
    <x v="121"/>
    <x v="0"/>
    <n v="145"/>
    <n v="54.3"/>
    <n v="2"/>
  </r>
  <r>
    <x v="2"/>
    <x v="1"/>
    <x v="56"/>
    <s v="Automatic"/>
    <x v="122"/>
    <x v="1"/>
    <n v="145"/>
    <n v="37.200000000000003"/>
    <n v="1.5"/>
  </r>
  <r>
    <x v="7"/>
    <x v="2"/>
    <x v="80"/>
    <s v="Automatic"/>
    <x v="123"/>
    <x v="0"/>
    <n v="145"/>
    <n v="53.3"/>
    <n v="3"/>
  </r>
  <r>
    <x v="0"/>
    <x v="1"/>
    <x v="81"/>
    <s v="Automatic"/>
    <x v="124"/>
    <x v="0"/>
    <n v="145"/>
    <n v="65.7"/>
    <n v="2"/>
  </r>
  <r>
    <x v="2"/>
    <x v="3"/>
    <x v="41"/>
    <s v="Manual"/>
    <x v="125"/>
    <x v="1"/>
    <n v="145"/>
    <n v="53.3"/>
    <n v="1.5"/>
  </r>
  <r>
    <x v="7"/>
    <x v="3"/>
    <x v="3"/>
    <s v="Manual"/>
    <x v="126"/>
    <x v="0"/>
    <n v="150"/>
    <n v="68.900000000000006"/>
    <n v="2"/>
  </r>
  <r>
    <x v="7"/>
    <x v="4"/>
    <x v="82"/>
    <s v="Manual"/>
    <x v="127"/>
    <x v="0"/>
    <n v="20"/>
    <n v="68.900000000000006"/>
    <n v="2"/>
  </r>
  <r>
    <x v="7"/>
    <x v="3"/>
    <x v="53"/>
    <s v="Automatic"/>
    <x v="128"/>
    <x v="0"/>
    <n v="0"/>
    <n v="74.3"/>
    <n v="2"/>
  </r>
  <r>
    <x v="9"/>
    <x v="2"/>
    <x v="83"/>
    <s v="Automatic"/>
    <x v="129"/>
    <x v="0"/>
    <n v="145"/>
    <n v="54.3"/>
    <n v="2"/>
  </r>
  <r>
    <x v="2"/>
    <x v="3"/>
    <x v="32"/>
    <s v="Automatic"/>
    <x v="130"/>
    <x v="1"/>
    <n v="145"/>
    <n v="58.9"/>
    <n v="1.5"/>
  </r>
  <r>
    <x v="7"/>
    <x v="3"/>
    <x v="15"/>
    <s v="Automatic"/>
    <x v="131"/>
    <x v="1"/>
    <n v="150"/>
    <n v="51.4"/>
    <n v="1.5"/>
  </r>
  <r>
    <x v="9"/>
    <x v="3"/>
    <x v="84"/>
    <s v="Automatic"/>
    <x v="132"/>
    <x v="0"/>
    <n v="150"/>
    <n v="54.3"/>
    <n v="2"/>
  </r>
  <r>
    <x v="2"/>
    <x v="2"/>
    <x v="85"/>
    <s v="Manual"/>
    <x v="133"/>
    <x v="0"/>
    <n v="0"/>
    <n v="83.1"/>
    <n v="1.5"/>
  </r>
  <r>
    <x v="11"/>
    <x v="3"/>
    <x v="68"/>
    <s v="Manual"/>
    <x v="134"/>
    <x v="0"/>
    <n v="145"/>
    <n v="60.1"/>
    <n v="2"/>
  </r>
  <r>
    <x v="2"/>
    <x v="2"/>
    <x v="86"/>
    <s v="Manual"/>
    <x v="135"/>
    <x v="0"/>
    <n v="0"/>
    <n v="83.1"/>
    <n v="1.5"/>
  </r>
  <r>
    <x v="4"/>
    <x v="2"/>
    <x v="87"/>
    <s v="Manual"/>
    <x v="136"/>
    <x v="0"/>
    <n v="20"/>
    <n v="68.900000000000006"/>
    <n v="2"/>
  </r>
  <r>
    <x v="7"/>
    <x v="3"/>
    <x v="80"/>
    <s v="Automatic"/>
    <x v="137"/>
    <x v="2"/>
    <n v="140"/>
    <n v="134.5"/>
    <n v="2"/>
  </r>
  <r>
    <x v="2"/>
    <x v="2"/>
    <x v="88"/>
    <s v="Automatic"/>
    <x v="138"/>
    <x v="0"/>
    <n v="125"/>
    <n v="60.1"/>
    <n v="2"/>
  </r>
  <r>
    <x v="2"/>
    <x v="2"/>
    <x v="89"/>
    <s v="Automatic"/>
    <x v="139"/>
    <x v="0"/>
    <n v="0"/>
    <n v="74.3"/>
    <n v="2"/>
  </r>
  <r>
    <x v="2"/>
    <x v="2"/>
    <x v="45"/>
    <s v="Automatic"/>
    <x v="140"/>
    <x v="0"/>
    <n v="20"/>
    <n v="68.900000000000006"/>
    <n v="2"/>
  </r>
  <r>
    <x v="2"/>
    <x v="2"/>
    <x v="90"/>
    <s v="Manual"/>
    <x v="141"/>
    <x v="0"/>
    <n v="0"/>
    <n v="83.1"/>
    <n v="1.5"/>
  </r>
  <r>
    <x v="2"/>
    <x v="3"/>
    <x v="56"/>
    <s v="Automatic"/>
    <x v="142"/>
    <x v="0"/>
    <n v="145"/>
    <n v="68.900000000000006"/>
    <n v="2"/>
  </r>
  <r>
    <x v="7"/>
    <x v="3"/>
    <x v="25"/>
    <s v="Automatic"/>
    <x v="143"/>
    <x v="0"/>
    <n v="145"/>
    <n v="64.2"/>
    <n v="2"/>
  </r>
  <r>
    <x v="6"/>
    <x v="3"/>
    <x v="57"/>
    <s v="Automatic"/>
    <x v="144"/>
    <x v="0"/>
    <n v="200"/>
    <n v="47.9"/>
    <n v="3"/>
  </r>
  <r>
    <x v="2"/>
    <x v="2"/>
    <x v="91"/>
    <s v="Manual"/>
    <x v="145"/>
    <x v="1"/>
    <n v="125"/>
    <n v="52.3"/>
    <n v="1.5"/>
  </r>
  <r>
    <x v="7"/>
    <x v="0"/>
    <x v="86"/>
    <s v="Automatic"/>
    <x v="146"/>
    <x v="0"/>
    <n v="20"/>
    <n v="68.900000000000006"/>
    <n v="2"/>
  </r>
  <r>
    <x v="2"/>
    <x v="2"/>
    <x v="92"/>
    <s v="Manual"/>
    <x v="147"/>
    <x v="1"/>
    <n v="125"/>
    <n v="52.3"/>
    <n v="1.5"/>
  </r>
  <r>
    <x v="5"/>
    <x v="1"/>
    <x v="93"/>
    <s v="Automatic"/>
    <x v="148"/>
    <x v="1"/>
    <n v="145"/>
    <n v="44.8"/>
    <n v="2"/>
  </r>
  <r>
    <x v="0"/>
    <x v="1"/>
    <x v="94"/>
    <s v="Automatic"/>
    <x v="149"/>
    <x v="0"/>
    <n v="150"/>
    <n v="68.900000000000006"/>
    <n v="2"/>
  </r>
  <r>
    <x v="11"/>
    <x v="6"/>
    <x v="95"/>
    <s v="Manual"/>
    <x v="150"/>
    <x v="0"/>
    <n v="160"/>
    <n v="51.4"/>
    <n v="2"/>
  </r>
  <r>
    <x v="7"/>
    <x v="3"/>
    <x v="96"/>
    <s v="Automatic"/>
    <x v="151"/>
    <x v="2"/>
    <n v="0"/>
    <n v="134.5"/>
    <n v="2"/>
  </r>
  <r>
    <x v="2"/>
    <x v="2"/>
    <x v="97"/>
    <s v="Automatic"/>
    <x v="152"/>
    <x v="1"/>
    <n v="30"/>
    <n v="55.5"/>
    <n v="1.5"/>
  </r>
  <r>
    <x v="2"/>
    <x v="3"/>
    <x v="55"/>
    <s v="Manual"/>
    <x v="153"/>
    <x v="1"/>
    <n v="125"/>
    <n v="53.3"/>
    <n v="1.5"/>
  </r>
  <r>
    <x v="5"/>
    <x v="3"/>
    <x v="2"/>
    <s v="Manual"/>
    <x v="154"/>
    <x v="1"/>
    <n v="145"/>
    <n v="46.3"/>
    <n v="2"/>
  </r>
  <r>
    <x v="5"/>
    <x v="3"/>
    <x v="98"/>
    <s v="Automatic"/>
    <x v="155"/>
    <x v="0"/>
    <n v="145"/>
    <n v="65.7"/>
    <n v="2"/>
  </r>
  <r>
    <x v="7"/>
    <x v="3"/>
    <x v="16"/>
    <s v="Manual"/>
    <x v="156"/>
    <x v="0"/>
    <n v="125"/>
    <n v="60.1"/>
    <n v="2"/>
  </r>
  <r>
    <x v="5"/>
    <x v="3"/>
    <x v="99"/>
    <s v="Manual"/>
    <x v="157"/>
    <x v="1"/>
    <n v="145"/>
    <n v="46.3"/>
    <n v="2"/>
  </r>
  <r>
    <x v="2"/>
    <x v="4"/>
    <x v="75"/>
    <s v="Manual"/>
    <x v="158"/>
    <x v="1"/>
    <n v="125"/>
    <n v="52.3"/>
    <n v="1.5"/>
  </r>
  <r>
    <x v="7"/>
    <x v="1"/>
    <x v="100"/>
    <s v="Automatic"/>
    <x v="159"/>
    <x v="1"/>
    <n v="145"/>
    <n v="48.7"/>
    <n v="2"/>
  </r>
  <r>
    <x v="0"/>
    <x v="2"/>
    <x v="15"/>
    <s v="Manual"/>
    <x v="160"/>
    <x v="0"/>
    <n v="125"/>
    <n v="60.1"/>
    <n v="2"/>
  </r>
  <r>
    <x v="4"/>
    <x v="2"/>
    <x v="32"/>
    <s v="Manual"/>
    <x v="161"/>
    <x v="1"/>
    <n v="160"/>
    <n v="44.1"/>
    <n v="2"/>
  </r>
  <r>
    <x v="11"/>
    <x v="2"/>
    <x v="92"/>
    <s v="Manual"/>
    <x v="162"/>
    <x v="0"/>
    <n v="20"/>
    <n v="68.900000000000006"/>
    <n v="2"/>
  </r>
  <r>
    <x v="7"/>
    <x v="3"/>
    <x v="93"/>
    <s v="Automatic"/>
    <x v="163"/>
    <x v="0"/>
    <n v="30"/>
    <n v="64.2"/>
    <n v="2"/>
  </r>
  <r>
    <x v="5"/>
    <x v="4"/>
    <x v="101"/>
    <s v="Semi-Auto"/>
    <x v="164"/>
    <x v="0"/>
    <n v="30"/>
    <n v="65.7"/>
    <n v="2"/>
  </r>
  <r>
    <x v="11"/>
    <x v="7"/>
    <x v="102"/>
    <s v="Semi-Auto"/>
    <x v="165"/>
    <x v="0"/>
    <n v="145"/>
    <n v="60.1"/>
    <n v="2"/>
  </r>
  <r>
    <x v="4"/>
    <x v="7"/>
    <x v="103"/>
    <s v="Manual"/>
    <x v="166"/>
    <x v="1"/>
    <n v="150"/>
    <n v="43.5"/>
    <n v="1.5"/>
  </r>
  <r>
    <x v="8"/>
    <x v="7"/>
    <x v="104"/>
    <s v="Semi-Auto"/>
    <x v="167"/>
    <x v="0"/>
    <n v="150"/>
    <n v="37.700000000000003"/>
    <n v="3"/>
  </r>
  <r>
    <x v="7"/>
    <x v="0"/>
    <x v="105"/>
    <s v="Manual"/>
    <x v="168"/>
    <x v="1"/>
    <n v="165"/>
    <n v="44.8"/>
    <n v="2"/>
  </r>
  <r>
    <x v="4"/>
    <x v="7"/>
    <x v="106"/>
    <s v="Automatic"/>
    <x v="169"/>
    <x v="3"/>
    <n v="140"/>
    <n v="113"/>
    <n v="1.5"/>
  </r>
  <r>
    <x v="2"/>
    <x v="7"/>
    <x v="107"/>
    <s v="Semi-Auto"/>
    <x v="165"/>
    <x v="0"/>
    <n v="150"/>
    <n v="48.7"/>
    <n v="2"/>
  </r>
  <r>
    <x v="13"/>
    <x v="7"/>
    <x v="64"/>
    <s v="Manual"/>
    <x v="170"/>
    <x v="0"/>
    <n v="150"/>
    <n v="49.6"/>
    <n v="2"/>
  </r>
  <r>
    <x v="9"/>
    <x v="5"/>
    <x v="108"/>
    <s v="Semi-Auto"/>
    <x v="171"/>
    <x v="0"/>
    <n v="150"/>
    <n v="42.8"/>
    <n v="2"/>
  </r>
  <r>
    <x v="9"/>
    <x v="5"/>
    <x v="108"/>
    <s v="Semi-Auto"/>
    <x v="171"/>
    <x v="0"/>
    <n v="150"/>
    <n v="42.8"/>
    <n v="2"/>
  </r>
  <r>
    <x v="2"/>
    <x v="3"/>
    <x v="109"/>
    <s v="Manual"/>
    <x v="172"/>
    <x v="0"/>
    <n v="30"/>
    <n v="65.7"/>
    <n v="2"/>
  </r>
  <r>
    <x v="5"/>
    <x v="2"/>
    <x v="110"/>
    <s v="Semi-Auto"/>
    <x v="173"/>
    <x v="1"/>
    <n v="145"/>
    <n v="48.7"/>
    <n v="2"/>
  </r>
  <r>
    <x v="2"/>
    <x v="6"/>
    <x v="111"/>
    <s v="Semi-Auto"/>
    <x v="174"/>
    <x v="1"/>
    <n v="235"/>
    <n v="37.700000000000003"/>
    <n v="3"/>
  </r>
  <r>
    <x v="2"/>
    <x v="4"/>
    <x v="112"/>
    <s v="Manual"/>
    <x v="175"/>
    <x v="0"/>
    <n v="30"/>
    <n v="65.7"/>
    <n v="2"/>
  </r>
  <r>
    <x v="0"/>
    <x v="0"/>
    <x v="105"/>
    <s v="Semi-Auto"/>
    <x v="176"/>
    <x v="0"/>
    <n v="125"/>
    <n v="57.6"/>
    <n v="2"/>
  </r>
  <r>
    <x v="11"/>
    <x v="2"/>
    <x v="111"/>
    <s v="Manual"/>
    <x v="177"/>
    <x v="0"/>
    <n v="125"/>
    <n v="58.9"/>
    <n v="2"/>
  </r>
  <r>
    <x v="7"/>
    <x v="3"/>
    <x v="113"/>
    <s v="Semi-Auto"/>
    <x v="178"/>
    <x v="1"/>
    <n v="145"/>
    <n v="51.4"/>
    <n v="2"/>
  </r>
  <r>
    <x v="2"/>
    <x v="4"/>
    <x v="114"/>
    <s v="Manual"/>
    <x v="179"/>
    <x v="0"/>
    <n v="30"/>
    <n v="62.8"/>
    <n v="2"/>
  </r>
  <r>
    <x v="14"/>
    <x v="3"/>
    <x v="115"/>
    <s v="Semi-Auto"/>
    <x v="180"/>
    <x v="0"/>
    <n v="200"/>
    <n v="47.1"/>
    <n v="3"/>
  </r>
  <r>
    <x v="12"/>
    <x v="2"/>
    <x v="102"/>
    <s v="Semi-Auto"/>
    <x v="181"/>
    <x v="1"/>
    <n v="300"/>
    <n v="34"/>
    <n v="3"/>
  </r>
  <r>
    <x v="2"/>
    <x v="2"/>
    <x v="116"/>
    <s v="Semi-Auto"/>
    <x v="182"/>
    <x v="1"/>
    <n v="200"/>
    <n v="39.799999999999997"/>
    <n v="3"/>
  </r>
  <r>
    <x v="11"/>
    <x v="2"/>
    <x v="117"/>
    <s v="Semi-Auto"/>
    <x v="183"/>
    <x v="0"/>
    <n v="125"/>
    <n v="57.6"/>
    <n v="2"/>
  </r>
  <r>
    <x v="0"/>
    <x v="5"/>
    <x v="106"/>
    <s v="Semi-Auto"/>
    <x v="184"/>
    <x v="0"/>
    <n v="145"/>
    <n v="65.7"/>
    <n v="2"/>
  </r>
  <r>
    <x v="11"/>
    <x v="6"/>
    <x v="118"/>
    <s v="Manual"/>
    <x v="185"/>
    <x v="0"/>
    <n v="125"/>
    <n v="57.6"/>
    <n v="2"/>
  </r>
  <r>
    <x v="15"/>
    <x v="5"/>
    <x v="119"/>
    <s v="Semi-Auto"/>
    <x v="186"/>
    <x v="0"/>
    <n v="145"/>
    <n v="39.799999999999997"/>
    <n v="3"/>
  </r>
  <r>
    <x v="2"/>
    <x v="0"/>
    <x v="120"/>
    <s v="Manual"/>
    <x v="187"/>
    <x v="1"/>
    <n v="300"/>
    <n v="35.299999999999997"/>
    <n v="3"/>
  </r>
  <r>
    <x v="7"/>
    <x v="5"/>
    <x v="121"/>
    <s v="Semi-Auto"/>
    <x v="188"/>
    <x v="0"/>
    <n v="150"/>
    <n v="55.4"/>
    <n v="2"/>
  </r>
  <r>
    <x v="2"/>
    <x v="3"/>
    <x v="114"/>
    <s v="Semi-Auto"/>
    <x v="189"/>
    <x v="0"/>
    <n v="0"/>
    <n v="78.5"/>
    <n v="1.5"/>
  </r>
  <r>
    <x v="6"/>
    <x v="0"/>
    <x v="122"/>
    <s v="Semi-Auto"/>
    <x v="190"/>
    <x v="0"/>
    <n v="145"/>
    <n v="54.3"/>
    <n v="2"/>
  </r>
  <r>
    <x v="0"/>
    <x v="4"/>
    <x v="123"/>
    <s v="Semi-Auto"/>
    <x v="191"/>
    <x v="0"/>
    <n v="30"/>
    <n v="62.8"/>
    <n v="2"/>
  </r>
  <r>
    <x v="4"/>
    <x v="0"/>
    <x v="124"/>
    <s v="Manual"/>
    <x v="192"/>
    <x v="0"/>
    <n v="125"/>
    <n v="58.9"/>
    <n v="2"/>
  </r>
  <r>
    <x v="2"/>
    <x v="5"/>
    <x v="125"/>
    <s v="Semi-Auto"/>
    <x v="193"/>
    <x v="1"/>
    <n v="145"/>
    <n v="47.9"/>
    <n v="2"/>
  </r>
  <r>
    <x v="11"/>
    <x v="2"/>
    <x v="126"/>
    <s v="Semi-Auto"/>
    <x v="194"/>
    <x v="1"/>
    <n v="160"/>
    <n v="44.8"/>
    <n v="2"/>
  </r>
  <r>
    <x v="7"/>
    <x v="5"/>
    <x v="103"/>
    <s v="Semi-Auto"/>
    <x v="195"/>
    <x v="0"/>
    <n v="145"/>
    <n v="48.7"/>
    <n v="2"/>
  </r>
  <r>
    <x v="0"/>
    <x v="1"/>
    <x v="127"/>
    <s v="Semi-Auto"/>
    <x v="196"/>
    <x v="0"/>
    <n v="145"/>
    <n v="60.1"/>
    <n v="3"/>
  </r>
  <r>
    <x v="2"/>
    <x v="2"/>
    <x v="128"/>
    <s v="Manual"/>
    <x v="197"/>
    <x v="1"/>
    <n v="260"/>
    <n v="36.200000000000003"/>
    <n v="3"/>
  </r>
  <r>
    <x v="2"/>
    <x v="3"/>
    <x v="129"/>
    <s v="Semi-Auto"/>
    <x v="198"/>
    <x v="1"/>
    <n v="145"/>
    <n v="55.5"/>
    <n v="1.5"/>
  </r>
  <r>
    <x v="11"/>
    <x v="2"/>
    <x v="130"/>
    <s v="Semi-Auto"/>
    <x v="199"/>
    <x v="0"/>
    <n v="145"/>
    <n v="55.4"/>
    <n v="2"/>
  </r>
  <r>
    <x v="8"/>
    <x v="4"/>
    <x v="103"/>
    <s v="Automatic"/>
    <x v="200"/>
    <x v="0"/>
    <n v="200"/>
    <n v="47.1"/>
    <n v="3"/>
  </r>
  <r>
    <x v="8"/>
    <x v="4"/>
    <x v="131"/>
    <s v="Automatic"/>
    <x v="201"/>
    <x v="0"/>
    <n v="200"/>
    <n v="47.9"/>
    <n v="3"/>
  </r>
  <r>
    <x v="2"/>
    <x v="3"/>
    <x v="116"/>
    <s v="Manual"/>
    <x v="202"/>
    <x v="1"/>
    <n v="260"/>
    <n v="36.200000000000003"/>
    <n v="3"/>
  </r>
  <r>
    <x v="2"/>
    <x v="3"/>
    <x v="111"/>
    <s v="Manual"/>
    <x v="203"/>
    <x v="1"/>
    <n v="145"/>
    <n v="52.3"/>
    <n v="1.5"/>
  </r>
  <r>
    <x v="0"/>
    <x v="3"/>
    <x v="132"/>
    <s v="Semi-Auto"/>
    <x v="204"/>
    <x v="0"/>
    <n v="145"/>
    <n v="65.7"/>
    <n v="2"/>
  </r>
  <r>
    <x v="2"/>
    <x v="3"/>
    <x v="111"/>
    <s v="Manual"/>
    <x v="205"/>
    <x v="0"/>
    <n v="145"/>
    <n v="70.599999999999994"/>
    <n v="1.5"/>
  </r>
  <r>
    <x v="0"/>
    <x v="5"/>
    <x v="133"/>
    <s v="Semi-Auto"/>
    <x v="206"/>
    <x v="0"/>
    <n v="145"/>
    <n v="60.1"/>
    <n v="2"/>
  </r>
  <r>
    <x v="7"/>
    <x v="5"/>
    <x v="132"/>
    <s v="Semi-Auto"/>
    <x v="207"/>
    <x v="1"/>
    <n v="145"/>
    <n v="48.7"/>
    <n v="2"/>
  </r>
  <r>
    <x v="7"/>
    <x v="5"/>
    <x v="64"/>
    <s v="Manual"/>
    <x v="208"/>
    <x v="0"/>
    <n v="145"/>
    <n v="53.3"/>
    <n v="2"/>
  </r>
  <r>
    <x v="5"/>
    <x v="5"/>
    <x v="133"/>
    <s v="Semi-Auto"/>
    <x v="209"/>
    <x v="0"/>
    <n v="145"/>
    <n v="60.1"/>
    <n v="2"/>
  </r>
  <r>
    <x v="0"/>
    <x v="3"/>
    <x v="134"/>
    <s v="Semi-Auto"/>
    <x v="210"/>
    <x v="0"/>
    <n v="145"/>
    <n v="68.900000000000006"/>
    <n v="2"/>
  </r>
  <r>
    <x v="7"/>
    <x v="5"/>
    <x v="135"/>
    <s v="Semi-Auto"/>
    <x v="211"/>
    <x v="0"/>
    <n v="150"/>
    <n v="48.7"/>
    <n v="2"/>
  </r>
  <r>
    <x v="16"/>
    <x v="2"/>
    <x v="136"/>
    <s v="Semi-Auto"/>
    <x v="212"/>
    <x v="1"/>
    <n v="205"/>
    <n v="41.5"/>
    <n v="2"/>
  </r>
  <r>
    <x v="5"/>
    <x v="1"/>
    <x v="137"/>
    <s v="Automatic"/>
    <x v="213"/>
    <x v="1"/>
    <n v="145"/>
    <n v="48.7"/>
    <n v="2"/>
  </r>
  <r>
    <x v="14"/>
    <x v="1"/>
    <x v="138"/>
    <s v="Semi-Auto"/>
    <x v="214"/>
    <x v="0"/>
    <n v="145"/>
    <n v="47.1"/>
    <n v="3"/>
  </r>
  <r>
    <x v="0"/>
    <x v="1"/>
    <x v="139"/>
    <s v="Automatic"/>
    <x v="215"/>
    <x v="0"/>
    <n v="145"/>
    <n v="68.900000000000006"/>
    <n v="2"/>
  </r>
  <r>
    <x v="2"/>
    <x v="6"/>
    <x v="140"/>
    <s v="Manual"/>
    <x v="216"/>
    <x v="0"/>
    <n v="125"/>
    <n v="57.6"/>
    <n v="2"/>
  </r>
  <r>
    <x v="0"/>
    <x v="1"/>
    <x v="141"/>
    <s v="Semi-Auto"/>
    <x v="217"/>
    <x v="0"/>
    <n v="145"/>
    <n v="49.6"/>
    <n v="2"/>
  </r>
  <r>
    <x v="14"/>
    <x v="2"/>
    <x v="142"/>
    <s v="Automatic"/>
    <x v="218"/>
    <x v="0"/>
    <n v="200"/>
    <n v="44.8"/>
    <n v="3"/>
  </r>
  <r>
    <x v="7"/>
    <x v="1"/>
    <x v="143"/>
    <s v="Semi-Auto"/>
    <x v="219"/>
    <x v="1"/>
    <n v="150"/>
    <n v="48.7"/>
    <n v="2"/>
  </r>
  <r>
    <x v="0"/>
    <x v="3"/>
    <x v="132"/>
    <s v="Automatic"/>
    <x v="220"/>
    <x v="0"/>
    <n v="145"/>
    <n v="60.1"/>
    <n v="2"/>
  </r>
  <r>
    <x v="0"/>
    <x v="5"/>
    <x v="144"/>
    <s v="Automatic"/>
    <x v="221"/>
    <x v="0"/>
    <n v="145"/>
    <n v="51.4"/>
    <n v="3"/>
  </r>
  <r>
    <x v="2"/>
    <x v="5"/>
    <x v="130"/>
    <s v="Semi-Auto"/>
    <x v="222"/>
    <x v="0"/>
    <n v="145"/>
    <n v="68.900000000000006"/>
    <n v="2"/>
  </r>
  <r>
    <x v="3"/>
    <x v="5"/>
    <x v="145"/>
    <s v="Semi-Auto"/>
    <x v="223"/>
    <x v="0"/>
    <n v="145"/>
    <n v="44.1"/>
    <n v="3"/>
  </r>
  <r>
    <x v="6"/>
    <x v="5"/>
    <x v="146"/>
    <s v="Semi-Auto"/>
    <x v="224"/>
    <x v="0"/>
    <n v="145"/>
    <n v="48.7"/>
    <n v="3"/>
  </r>
  <r>
    <x v="8"/>
    <x v="2"/>
    <x v="144"/>
    <s v="Automatic"/>
    <x v="225"/>
    <x v="3"/>
    <n v="0"/>
    <n v="85.6"/>
    <n v="2"/>
  </r>
  <r>
    <x v="2"/>
    <x v="2"/>
    <x v="117"/>
    <s v="Manual"/>
    <x v="226"/>
    <x v="1"/>
    <n v="300"/>
    <n v="35.299999999999997"/>
    <n v="3"/>
  </r>
  <r>
    <x v="7"/>
    <x v="2"/>
    <x v="130"/>
    <s v="Semi-Auto"/>
    <x v="227"/>
    <x v="0"/>
    <n v="145"/>
    <n v="53.3"/>
    <n v="3"/>
  </r>
  <r>
    <x v="4"/>
    <x v="5"/>
    <x v="147"/>
    <s v="Semi-Auto"/>
    <x v="228"/>
    <x v="1"/>
    <n v="145"/>
    <n v="47.9"/>
    <n v="2"/>
  </r>
  <r>
    <x v="11"/>
    <x v="3"/>
    <x v="131"/>
    <s v="Semi-Auto"/>
    <x v="229"/>
    <x v="0"/>
    <n v="145"/>
    <n v="55.4"/>
    <n v="2"/>
  </r>
  <r>
    <x v="11"/>
    <x v="3"/>
    <x v="43"/>
    <s v="Semi-Auto"/>
    <x v="230"/>
    <x v="0"/>
    <n v="145"/>
    <n v="65.7"/>
    <n v="2"/>
  </r>
  <r>
    <x v="6"/>
    <x v="1"/>
    <x v="148"/>
    <s v="Semi-Auto"/>
    <x v="231"/>
    <x v="0"/>
    <n v="145"/>
    <n v="48.7"/>
    <n v="3"/>
  </r>
  <r>
    <x v="11"/>
    <x v="2"/>
    <x v="149"/>
    <s v="Semi-Auto"/>
    <x v="232"/>
    <x v="0"/>
    <n v="125"/>
    <n v="57.6"/>
    <n v="2"/>
  </r>
  <r>
    <x v="8"/>
    <x v="3"/>
    <x v="150"/>
    <s v="Automatic"/>
    <x v="233"/>
    <x v="0"/>
    <n v="205"/>
    <n v="47.1"/>
    <n v="3"/>
  </r>
  <r>
    <x v="8"/>
    <x v="4"/>
    <x v="151"/>
    <s v="Automatic"/>
    <x v="234"/>
    <x v="0"/>
    <n v="205"/>
    <n v="47.1"/>
    <n v="3"/>
  </r>
  <r>
    <x v="7"/>
    <x v="1"/>
    <x v="11"/>
    <s v="Semi-Auto"/>
    <x v="235"/>
    <x v="0"/>
    <n v="150"/>
    <n v="53.3"/>
    <n v="3"/>
  </r>
  <r>
    <x v="2"/>
    <x v="2"/>
    <x v="2"/>
    <s v="Manual"/>
    <x v="236"/>
    <x v="1"/>
    <n v="305"/>
    <n v="35.299999999999997"/>
    <n v="3"/>
  </r>
  <r>
    <x v="7"/>
    <x v="3"/>
    <x v="39"/>
    <s v="Manual"/>
    <x v="237"/>
    <x v="1"/>
    <n v="165"/>
    <n v="44.8"/>
    <n v="2"/>
  </r>
  <r>
    <x v="17"/>
    <x v="7"/>
    <x v="152"/>
    <s v="Semi-Auto"/>
    <x v="238"/>
    <x v="0"/>
    <n v="150"/>
    <n v="31.4"/>
    <n v="3"/>
  </r>
  <r>
    <x v="7"/>
    <x v="1"/>
    <x v="84"/>
    <s v="Semi-Auto"/>
    <x v="239"/>
    <x v="1"/>
    <n v="145"/>
    <n v="48.7"/>
    <n v="2"/>
  </r>
  <r>
    <x v="2"/>
    <x v="1"/>
    <x v="8"/>
    <s v="Manual"/>
    <x v="240"/>
    <x v="1"/>
    <n v="145"/>
    <n v="37.700000000000003"/>
    <n v="1.5"/>
  </r>
  <r>
    <x v="5"/>
    <x v="5"/>
    <x v="153"/>
    <s v="Semi-Auto"/>
    <x v="241"/>
    <x v="0"/>
    <n v="145"/>
    <n v="50.4"/>
    <n v="3"/>
  </r>
  <r>
    <x v="5"/>
    <x v="5"/>
    <x v="154"/>
    <s v="Semi-Auto"/>
    <x v="242"/>
    <x v="0"/>
    <n v="145"/>
    <n v="65.7"/>
    <n v="2"/>
  </r>
  <r>
    <x v="4"/>
    <x v="5"/>
    <x v="155"/>
    <s v="Semi-Auto"/>
    <x v="243"/>
    <x v="1"/>
    <n v="145"/>
    <n v="39.200000000000003"/>
    <n v="1.5"/>
  </r>
  <r>
    <x v="2"/>
    <x v="1"/>
    <x v="2"/>
    <s v="Manual"/>
    <x v="244"/>
    <x v="0"/>
    <n v="145"/>
    <n v="50.4"/>
    <n v="1.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8">
  <r>
    <x v="0"/>
    <x v="0"/>
    <n v="11200"/>
    <x v="0"/>
    <n v="67068"/>
    <s v="Diesel"/>
    <n v="125"/>
    <n v="57.6"/>
    <n v="2"/>
  </r>
  <r>
    <x v="1"/>
    <x v="1"/>
    <n v="27000"/>
    <x v="0"/>
    <n v="14827"/>
    <s v="Petrol"/>
    <n v="145"/>
    <n v="42.8"/>
    <n v="2"/>
  </r>
  <r>
    <x v="0"/>
    <x v="2"/>
    <n v="16000"/>
    <x v="0"/>
    <n v="62794"/>
    <s v="Diesel"/>
    <n v="160"/>
    <n v="51.4"/>
    <n v="3"/>
  </r>
  <r>
    <x v="2"/>
    <x v="3"/>
    <n v="12750"/>
    <x v="0"/>
    <n v="26676"/>
    <s v="Diesel"/>
    <n v="145"/>
    <n v="72.400000000000006"/>
    <n v="1.5"/>
  </r>
  <r>
    <x v="3"/>
    <x v="0"/>
    <n v="14500"/>
    <x v="0"/>
    <n v="39554"/>
    <s v="Diesel"/>
    <n v="160"/>
    <n v="50.4"/>
    <n v="3"/>
  </r>
  <r>
    <x v="0"/>
    <x v="2"/>
    <n v="14900"/>
    <x v="0"/>
    <n v="35309"/>
    <s v="Diesel"/>
    <n v="125"/>
    <n v="60.1"/>
    <n v="2"/>
  </r>
  <r>
    <x v="0"/>
    <x v="3"/>
    <n v="16000"/>
    <x v="0"/>
    <n v="38538"/>
    <s v="Diesel"/>
    <n v="125"/>
    <n v="60.1"/>
    <n v="2"/>
  </r>
  <r>
    <x v="4"/>
    <x v="1"/>
    <n v="16250"/>
    <x v="1"/>
    <n v="10401"/>
    <s v="Petrol"/>
    <n v="145"/>
    <n v="52.3"/>
    <n v="1.5"/>
  </r>
  <r>
    <x v="5"/>
    <x v="3"/>
    <n v="14250"/>
    <x v="1"/>
    <n v="42668"/>
    <s v="Diesel"/>
    <n v="30"/>
    <n v="62.8"/>
    <n v="2"/>
  </r>
  <r>
    <x v="0"/>
    <x v="2"/>
    <n v="14250"/>
    <x v="0"/>
    <n v="36099"/>
    <s v="Diesel"/>
    <n v="20"/>
    <n v="68.900000000000006"/>
    <n v="2"/>
  </r>
  <r>
    <x v="6"/>
    <x v="3"/>
    <n v="15500"/>
    <x v="1"/>
    <n v="74907"/>
    <s v="Diesel"/>
    <n v="145"/>
    <n v="52.3"/>
    <n v="2"/>
  </r>
  <r>
    <x v="2"/>
    <x v="3"/>
    <n v="11800"/>
    <x v="1"/>
    <n v="29840"/>
    <s v="Diesel"/>
    <n v="20"/>
    <n v="68.900000000000006"/>
    <n v="2"/>
  </r>
  <r>
    <x v="6"/>
    <x v="2"/>
    <n v="15500"/>
    <x v="0"/>
    <n v="77823"/>
    <s v="Diesel"/>
    <n v="125"/>
    <n v="54.3"/>
    <n v="2"/>
  </r>
  <r>
    <x v="4"/>
    <x v="4"/>
    <n v="10500"/>
    <x v="1"/>
    <n v="31469"/>
    <s v="Diesel"/>
    <n v="20"/>
    <n v="68.900000000000006"/>
    <n v="2"/>
  </r>
  <r>
    <x v="6"/>
    <x v="3"/>
    <n v="22000"/>
    <x v="0"/>
    <n v="19057"/>
    <s v="Diesel"/>
    <n v="145"/>
    <n v="54.3"/>
    <n v="2"/>
  </r>
  <r>
    <x v="7"/>
    <x v="3"/>
    <n v="16500"/>
    <x v="1"/>
    <n v="16570"/>
    <s v="Diesel"/>
    <n v="125"/>
    <n v="58.9"/>
    <n v="2"/>
  </r>
  <r>
    <x v="7"/>
    <x v="3"/>
    <n v="14250"/>
    <x v="0"/>
    <n v="55594"/>
    <s v="Other"/>
    <n v="135"/>
    <n v="148.69999999999999"/>
    <n v="2"/>
  </r>
  <r>
    <x v="7"/>
    <x v="3"/>
    <n v="16000"/>
    <x v="0"/>
    <n v="45456"/>
    <s v="Diesel"/>
    <n v="30"/>
    <n v="64.2"/>
    <n v="2"/>
  </r>
  <r>
    <x v="2"/>
    <x v="3"/>
    <n v="15500"/>
    <x v="0"/>
    <n v="22812"/>
    <s v="Diesel"/>
    <n v="20"/>
    <n v="68.900000000000006"/>
    <n v="1.5"/>
  </r>
  <r>
    <x v="5"/>
    <x v="0"/>
    <n v="14000"/>
    <x v="0"/>
    <n v="47348"/>
    <s v="Diesel"/>
    <n v="125"/>
    <n v="60.1"/>
    <n v="2"/>
  </r>
  <r>
    <x v="2"/>
    <x v="4"/>
    <n v="9700"/>
    <x v="0"/>
    <n v="75124"/>
    <s v="Diesel"/>
    <n v="20"/>
    <n v="70.599999999999994"/>
    <n v="2"/>
  </r>
  <r>
    <x v="7"/>
    <x v="4"/>
    <n v="12600"/>
    <x v="0"/>
    <n v="78957"/>
    <s v="Diesel"/>
    <n v="30"/>
    <n v="62.8"/>
    <n v="2"/>
  </r>
  <r>
    <x v="7"/>
    <x v="2"/>
    <n v="15100"/>
    <x v="0"/>
    <n v="29213"/>
    <s v="Diesel"/>
    <n v="30"/>
    <n v="64.2"/>
    <n v="2"/>
  </r>
  <r>
    <x v="2"/>
    <x v="2"/>
    <n v="9400"/>
    <x v="1"/>
    <n v="44498"/>
    <s v="Diesel"/>
    <n v="0"/>
    <n v="83.1"/>
    <n v="1.5"/>
  </r>
  <r>
    <x v="2"/>
    <x v="2"/>
    <n v="14300"/>
    <x v="0"/>
    <n v="22461"/>
    <s v="Diesel"/>
    <n v="20"/>
    <n v="67.3"/>
    <n v="2"/>
  </r>
  <r>
    <x v="2"/>
    <x v="2"/>
    <n v="11200"/>
    <x v="1"/>
    <n v="23005"/>
    <s v="Petrol"/>
    <n v="125"/>
    <n v="53.3"/>
    <n v="1.5"/>
  </r>
  <r>
    <x v="7"/>
    <x v="5"/>
    <n v="17800"/>
    <x v="0"/>
    <n v="22310"/>
    <s v="Diesel"/>
    <n v="145"/>
    <n v="64.2"/>
    <n v="2"/>
  </r>
  <r>
    <x v="7"/>
    <x v="2"/>
    <n v="14400"/>
    <x v="0"/>
    <n v="51994"/>
    <s v="Diesel"/>
    <n v="30"/>
    <n v="62.8"/>
    <n v="2"/>
  </r>
  <r>
    <x v="8"/>
    <x v="2"/>
    <n v="19750"/>
    <x v="0"/>
    <n v="96213"/>
    <s v="Diesel"/>
    <n v="165"/>
    <n v="52.3"/>
    <n v="2"/>
  </r>
  <r>
    <x v="6"/>
    <x v="4"/>
    <n v="17400"/>
    <x v="0"/>
    <n v="50316"/>
    <s v="Diesel"/>
    <n v="200"/>
    <n v="47.9"/>
    <n v="3"/>
  </r>
  <r>
    <x v="5"/>
    <x v="3"/>
    <n v="16800"/>
    <x v="0"/>
    <n v="44011"/>
    <s v="Diesel"/>
    <n v="150"/>
    <n v="65.7"/>
    <n v="2"/>
  </r>
  <r>
    <x v="9"/>
    <x v="3"/>
    <n v="23000"/>
    <x v="0"/>
    <n v="34960"/>
    <s v="Diesel"/>
    <n v="150"/>
    <n v="54.3"/>
    <n v="2"/>
  </r>
  <r>
    <x v="10"/>
    <x v="2"/>
    <n v="17100"/>
    <x v="0"/>
    <n v="25269"/>
    <s v="Other"/>
    <n v="0"/>
    <n v="470.8"/>
    <n v="0.6"/>
  </r>
  <r>
    <x v="2"/>
    <x v="3"/>
    <n v="20500"/>
    <x v="0"/>
    <n v="24029"/>
    <s v="Petrol"/>
    <n v="145"/>
    <n v="39.799999999999997"/>
    <n v="3"/>
  </r>
  <r>
    <x v="2"/>
    <x v="3"/>
    <n v="11900"/>
    <x v="1"/>
    <n v="22920"/>
    <s v="Petrol"/>
    <n v="145"/>
    <n v="53.3"/>
    <n v="1.5"/>
  </r>
  <r>
    <x v="4"/>
    <x v="3"/>
    <n v="13000"/>
    <x v="0"/>
    <n v="61818"/>
    <s v="Other"/>
    <n v="0"/>
    <n v="141.19999999999999"/>
    <n v="1.5"/>
  </r>
  <r>
    <x v="7"/>
    <x v="4"/>
    <n v="11500"/>
    <x v="1"/>
    <n v="59634"/>
    <s v="Diesel"/>
    <n v="125"/>
    <n v="61.4"/>
    <n v="2"/>
  </r>
  <r>
    <x v="2"/>
    <x v="2"/>
    <n v="13500"/>
    <x v="1"/>
    <n v="29226"/>
    <s v="Diesel"/>
    <n v="30"/>
    <n v="62.8"/>
    <n v="2"/>
  </r>
  <r>
    <x v="11"/>
    <x v="3"/>
    <n v="18900"/>
    <x v="0"/>
    <n v="33514"/>
    <s v="Diesel"/>
    <n v="145"/>
    <n v="60.1"/>
    <n v="2"/>
  </r>
  <r>
    <x v="2"/>
    <x v="1"/>
    <n v="14600"/>
    <x v="0"/>
    <n v="6522"/>
    <s v="Petrol"/>
    <n v="145"/>
    <n v="37.200000000000003"/>
    <n v="1.5"/>
  </r>
  <r>
    <x v="7"/>
    <x v="2"/>
    <n v="15800"/>
    <x v="1"/>
    <n v="11231"/>
    <s v="Petrol"/>
    <n v="145"/>
    <n v="47.9"/>
    <n v="2"/>
  </r>
  <r>
    <x v="2"/>
    <x v="2"/>
    <n v="11400"/>
    <x v="1"/>
    <n v="21591"/>
    <s v="Petrol"/>
    <n v="125"/>
    <n v="53.3"/>
    <n v="1.5"/>
  </r>
  <r>
    <x v="6"/>
    <x v="6"/>
    <n v="12000"/>
    <x v="0"/>
    <n v="79972"/>
    <s v="Diesel"/>
    <n v="200"/>
    <n v="47.1"/>
    <n v="3"/>
  </r>
  <r>
    <x v="2"/>
    <x v="1"/>
    <n v="17500"/>
    <x v="0"/>
    <n v="14037"/>
    <s v="Petrol"/>
    <n v="145"/>
    <n v="54.3"/>
    <n v="1.5"/>
  </r>
  <r>
    <x v="0"/>
    <x v="3"/>
    <n v="23500"/>
    <x v="0"/>
    <n v="25034"/>
    <s v="Diesel"/>
    <n v="200"/>
    <n v="47.9"/>
    <n v="3"/>
  </r>
  <r>
    <x v="11"/>
    <x v="2"/>
    <n v="16700"/>
    <x v="0"/>
    <n v="44478"/>
    <s v="Diesel"/>
    <n v="125"/>
    <n v="60.1"/>
    <n v="2"/>
  </r>
  <r>
    <x v="6"/>
    <x v="3"/>
    <n v="18000"/>
    <x v="0"/>
    <n v="74852"/>
    <s v="Diesel"/>
    <n v="150"/>
    <n v="47.1"/>
    <n v="3"/>
  </r>
  <r>
    <x v="5"/>
    <x v="2"/>
    <n v="15500"/>
    <x v="0"/>
    <n v="45856"/>
    <s v="Diesel"/>
    <n v="30"/>
    <n v="65.7"/>
    <n v="2"/>
  </r>
  <r>
    <x v="2"/>
    <x v="2"/>
    <n v="9200"/>
    <x v="1"/>
    <n v="48858"/>
    <s v="Diesel"/>
    <n v="0"/>
    <n v="83.1"/>
    <n v="1.5"/>
  </r>
  <r>
    <x v="2"/>
    <x v="3"/>
    <n v="11200"/>
    <x v="1"/>
    <n v="40399"/>
    <s v="Diesel"/>
    <n v="145"/>
    <n v="68.900000000000006"/>
    <n v="2"/>
  </r>
  <r>
    <x v="2"/>
    <x v="2"/>
    <n v="13200"/>
    <x v="1"/>
    <n v="17393"/>
    <s v="Diesel"/>
    <n v="30"/>
    <n v="65.7"/>
    <n v="2"/>
  </r>
  <r>
    <x v="0"/>
    <x v="0"/>
    <n v="11000"/>
    <x v="0"/>
    <n v="84816"/>
    <s v="Diesel"/>
    <n v="30"/>
    <n v="62.8"/>
    <n v="2"/>
  </r>
  <r>
    <x v="7"/>
    <x v="3"/>
    <n v="18500"/>
    <x v="0"/>
    <n v="27139"/>
    <s v="Diesel"/>
    <n v="160"/>
    <n v="51.4"/>
    <n v="3"/>
  </r>
  <r>
    <x v="2"/>
    <x v="3"/>
    <n v="12750"/>
    <x v="0"/>
    <n v="91563"/>
    <s v="Diesel"/>
    <n v="125"/>
    <n v="60.1"/>
    <n v="2"/>
  </r>
  <r>
    <x v="7"/>
    <x v="0"/>
    <n v="14000"/>
    <x v="1"/>
    <n v="32139"/>
    <s v="Petrol"/>
    <n v="205"/>
    <n v="43.5"/>
    <n v="2"/>
  </r>
  <r>
    <x v="11"/>
    <x v="3"/>
    <n v="14000"/>
    <x v="0"/>
    <n v="54120"/>
    <s v="Diesel"/>
    <n v="30"/>
    <n v="65.7"/>
    <n v="2"/>
  </r>
  <r>
    <x v="11"/>
    <x v="3"/>
    <n v="14000"/>
    <x v="1"/>
    <n v="20925"/>
    <s v="Diesel"/>
    <n v="150"/>
    <n v="68.900000000000006"/>
    <n v="2"/>
  </r>
  <r>
    <x v="7"/>
    <x v="2"/>
    <n v="12750"/>
    <x v="1"/>
    <n v="30521"/>
    <s v="Diesel"/>
    <n v="20"/>
    <n v="68.900000000000006"/>
    <n v="2"/>
  </r>
  <r>
    <x v="11"/>
    <x v="1"/>
    <n v="18000"/>
    <x v="1"/>
    <n v="16066"/>
    <s v="Petrol"/>
    <n v="150"/>
    <n v="51.4"/>
    <n v="1.5"/>
  </r>
  <r>
    <x v="2"/>
    <x v="4"/>
    <n v="11100"/>
    <x v="1"/>
    <n v="11524"/>
    <s v="Diesel"/>
    <n v="0"/>
    <n v="83.1"/>
    <n v="1.5"/>
  </r>
  <r>
    <x v="2"/>
    <x v="3"/>
    <n v="12700"/>
    <x v="1"/>
    <n v="21809"/>
    <s v="Petrol"/>
    <n v="145"/>
    <n v="53.3"/>
    <n v="1.5"/>
  </r>
  <r>
    <x v="2"/>
    <x v="3"/>
    <n v="14500"/>
    <x v="0"/>
    <n v="27245"/>
    <s v="Diesel"/>
    <n v="145"/>
    <n v="68.900000000000006"/>
    <n v="2"/>
  </r>
  <r>
    <x v="7"/>
    <x v="6"/>
    <n v="12750"/>
    <x v="0"/>
    <n v="35736"/>
    <s v="Diesel"/>
    <n v="125"/>
    <n v="58.9"/>
    <n v="2"/>
  </r>
  <r>
    <x v="11"/>
    <x v="3"/>
    <n v="14100"/>
    <x v="0"/>
    <n v="55782"/>
    <s v="Diesel"/>
    <n v="145"/>
    <n v="65.7"/>
    <n v="2"/>
  </r>
  <r>
    <x v="2"/>
    <x v="2"/>
    <n v="10800"/>
    <x v="1"/>
    <n v="26404"/>
    <s v="Petrol"/>
    <n v="125"/>
    <n v="53.3"/>
    <n v="1.5"/>
  </r>
  <r>
    <x v="2"/>
    <x v="2"/>
    <n v="13000"/>
    <x v="1"/>
    <n v="26631"/>
    <s v="Petrol"/>
    <n v="125"/>
    <n v="52.3"/>
    <n v="1.5"/>
  </r>
  <r>
    <x v="2"/>
    <x v="2"/>
    <n v="12500"/>
    <x v="1"/>
    <n v="24111"/>
    <s v="Petrol"/>
    <n v="145"/>
    <n v="47.1"/>
    <n v="1.6"/>
  </r>
  <r>
    <x v="7"/>
    <x v="3"/>
    <n v="13600"/>
    <x v="1"/>
    <n v="22763"/>
    <s v="Petrol"/>
    <n v="145"/>
    <n v="48.7"/>
    <n v="2"/>
  </r>
  <r>
    <x v="7"/>
    <x v="2"/>
    <n v="12700"/>
    <x v="1"/>
    <n v="17385"/>
    <s v="Diesel"/>
    <n v="20"/>
    <n v="72.400000000000006"/>
    <n v="2"/>
  </r>
  <r>
    <x v="0"/>
    <x v="2"/>
    <n v="15600"/>
    <x v="0"/>
    <n v="35474"/>
    <s v="Diesel"/>
    <n v="125"/>
    <n v="60.1"/>
    <n v="2"/>
  </r>
  <r>
    <x v="5"/>
    <x v="2"/>
    <n v="15250"/>
    <x v="1"/>
    <n v="16584"/>
    <s v="Diesel"/>
    <n v="30"/>
    <n v="62.8"/>
    <n v="2"/>
  </r>
  <r>
    <x v="2"/>
    <x v="1"/>
    <n v="11700"/>
    <x v="1"/>
    <n v="30273"/>
    <s v="Diesel"/>
    <n v="145"/>
    <n v="53.3"/>
    <n v="1.5"/>
  </r>
  <r>
    <x v="4"/>
    <x v="3"/>
    <n v="10900"/>
    <x v="1"/>
    <n v="62021"/>
    <s v="Diesel"/>
    <n v="145"/>
    <n v="65.7"/>
    <n v="2"/>
  </r>
  <r>
    <x v="0"/>
    <x v="2"/>
    <n v="14400"/>
    <x v="0"/>
    <n v="51552"/>
    <s v="Diesel"/>
    <n v="30"/>
    <n v="62.8"/>
    <n v="2"/>
  </r>
  <r>
    <x v="2"/>
    <x v="2"/>
    <n v="11100"/>
    <x v="1"/>
    <n v="29508"/>
    <s v="Petrol"/>
    <n v="125"/>
    <n v="53.3"/>
    <n v="1.5"/>
  </r>
  <r>
    <x v="2"/>
    <x v="3"/>
    <n v="11100"/>
    <x v="1"/>
    <n v="30865"/>
    <s v="Diesel"/>
    <n v="145"/>
    <n v="72.400000000000006"/>
    <n v="1.5"/>
  </r>
  <r>
    <x v="0"/>
    <x v="0"/>
    <n v="12400"/>
    <x v="0"/>
    <n v="46356"/>
    <s v="Diesel"/>
    <n v="30"/>
    <n v="62.8"/>
    <n v="2"/>
  </r>
  <r>
    <x v="2"/>
    <x v="2"/>
    <n v="12800"/>
    <x v="1"/>
    <n v="18343"/>
    <s v="Diesel"/>
    <n v="20"/>
    <n v="70.599999999999994"/>
    <n v="1.5"/>
  </r>
  <r>
    <x v="0"/>
    <x v="0"/>
    <n v="15000"/>
    <x v="0"/>
    <n v="13858"/>
    <s v="Diesel"/>
    <n v="125"/>
    <n v="57.6"/>
    <n v="2"/>
  </r>
  <r>
    <x v="4"/>
    <x v="3"/>
    <n v="12750"/>
    <x v="1"/>
    <n v="33752"/>
    <s v="Petrol"/>
    <n v="125"/>
    <n v="52.3"/>
    <n v="1.5"/>
  </r>
  <r>
    <x v="6"/>
    <x v="2"/>
    <n v="21750"/>
    <x v="0"/>
    <n v="19083"/>
    <s v="Diesel"/>
    <n v="150"/>
    <n v="54.3"/>
    <n v="2"/>
  </r>
  <r>
    <x v="4"/>
    <x v="3"/>
    <n v="13900"/>
    <x v="0"/>
    <n v="46281"/>
    <s v="Petrol"/>
    <n v="125"/>
    <n v="51.4"/>
    <n v="1.5"/>
  </r>
  <r>
    <x v="11"/>
    <x v="3"/>
    <n v="14000"/>
    <x v="0"/>
    <n v="54183"/>
    <s v="Diesel"/>
    <n v="150"/>
    <n v="65.7"/>
    <n v="2"/>
  </r>
  <r>
    <x v="11"/>
    <x v="3"/>
    <n v="15200"/>
    <x v="0"/>
    <n v="36701"/>
    <s v="Diesel"/>
    <n v="30"/>
    <n v="65.7"/>
    <n v="2"/>
  </r>
  <r>
    <x v="7"/>
    <x v="3"/>
    <n v="13500"/>
    <x v="0"/>
    <n v="48082"/>
    <s v="Petrol"/>
    <n v="150"/>
    <n v="51.4"/>
    <n v="2"/>
  </r>
  <r>
    <x v="11"/>
    <x v="2"/>
    <n v="12150"/>
    <x v="1"/>
    <n v="77482"/>
    <s v="Diesel"/>
    <n v="20"/>
    <n v="68.900000000000006"/>
    <n v="2"/>
  </r>
  <r>
    <x v="4"/>
    <x v="3"/>
    <n v="16000"/>
    <x v="0"/>
    <n v="32389"/>
    <s v="Other"/>
    <n v="0"/>
    <n v="141.19999999999999"/>
    <n v="1.5"/>
  </r>
  <r>
    <x v="0"/>
    <x v="2"/>
    <n v="14000"/>
    <x v="0"/>
    <n v="39235"/>
    <s v="Diesel"/>
    <n v="30"/>
    <n v="62.8"/>
    <n v="2"/>
  </r>
  <r>
    <x v="7"/>
    <x v="1"/>
    <n v="19490"/>
    <x v="0"/>
    <n v="30703"/>
    <s v="Diesel"/>
    <n v="145"/>
    <n v="57.6"/>
    <n v="2"/>
  </r>
  <r>
    <x v="2"/>
    <x v="4"/>
    <n v="15499"/>
    <x v="2"/>
    <n v="20000"/>
    <s v="Diesel"/>
    <n v="125"/>
    <n v="60.1"/>
    <n v="2"/>
  </r>
  <r>
    <x v="4"/>
    <x v="3"/>
    <n v="13000"/>
    <x v="2"/>
    <n v="34971"/>
    <s v="Diesel"/>
    <n v="150"/>
    <n v="72.400000000000006"/>
    <n v="1.5"/>
  </r>
  <r>
    <x v="2"/>
    <x v="0"/>
    <n v="10600"/>
    <x v="2"/>
    <n v="44900"/>
    <s v="Diesel"/>
    <n v="30"/>
    <n v="64.2"/>
    <n v="2"/>
  </r>
  <r>
    <x v="6"/>
    <x v="3"/>
    <n v="23000"/>
    <x v="2"/>
    <n v="16945"/>
    <s v="Diesel"/>
    <n v="150"/>
    <n v="54.3"/>
    <n v="2"/>
  </r>
  <r>
    <x v="12"/>
    <x v="2"/>
    <n v="29998"/>
    <x v="2"/>
    <n v="34209"/>
    <s v="Petrol"/>
    <n v="300"/>
    <n v="34"/>
    <n v="3"/>
  </r>
  <r>
    <x v="2"/>
    <x v="3"/>
    <n v="12498"/>
    <x v="1"/>
    <n v="14138"/>
    <s v="Diesel"/>
    <n v="20"/>
    <n v="72.400000000000006"/>
    <n v="1.5"/>
  </r>
  <r>
    <x v="2"/>
    <x v="4"/>
    <n v="7948"/>
    <x v="1"/>
    <n v="74375"/>
    <s v="Diesel"/>
    <n v="30"/>
    <n v="65.7"/>
    <n v="2"/>
  </r>
  <r>
    <x v="11"/>
    <x v="3"/>
    <n v="17800"/>
    <x v="0"/>
    <n v="31238"/>
    <s v="Diesel"/>
    <n v="145"/>
    <n v="55.4"/>
    <n v="2"/>
  </r>
  <r>
    <x v="7"/>
    <x v="4"/>
    <n v="13100"/>
    <x v="1"/>
    <n v="37204"/>
    <s v="Diesel"/>
    <n v="30"/>
    <n v="64.2"/>
    <n v="2"/>
  </r>
  <r>
    <x v="2"/>
    <x v="3"/>
    <n v="11400"/>
    <x v="1"/>
    <n v="26265"/>
    <s v="Diesel"/>
    <n v="0"/>
    <n v="83.1"/>
    <n v="1.5"/>
  </r>
  <r>
    <x v="7"/>
    <x v="2"/>
    <n v="14800"/>
    <x v="0"/>
    <n v="38838"/>
    <s v="Diesel"/>
    <n v="125"/>
    <n v="57.6"/>
    <n v="2"/>
  </r>
  <r>
    <x v="6"/>
    <x v="2"/>
    <n v="15900"/>
    <x v="0"/>
    <n v="59692"/>
    <s v="Diesel"/>
    <n v="145"/>
    <n v="54.3"/>
    <n v="2"/>
  </r>
  <r>
    <x v="7"/>
    <x v="2"/>
    <n v="16300"/>
    <x v="0"/>
    <n v="34623"/>
    <s v="Diesel"/>
    <n v="125"/>
    <n v="57.6"/>
    <n v="2"/>
  </r>
  <r>
    <x v="7"/>
    <x v="3"/>
    <n v="14800"/>
    <x v="1"/>
    <n v="29968"/>
    <s v="Diesel"/>
    <n v="30"/>
    <n v="64.2"/>
    <n v="2"/>
  </r>
  <r>
    <x v="7"/>
    <x v="3"/>
    <n v="19700"/>
    <x v="0"/>
    <n v="27748"/>
    <s v="Diesel"/>
    <n v="200"/>
    <n v="49.6"/>
    <n v="3"/>
  </r>
  <r>
    <x v="7"/>
    <x v="4"/>
    <n v="14450"/>
    <x v="0"/>
    <n v="47288"/>
    <s v="Diesel"/>
    <n v="30"/>
    <n v="62.8"/>
    <n v="2"/>
  </r>
  <r>
    <x v="0"/>
    <x v="2"/>
    <n v="13500"/>
    <x v="0"/>
    <n v="64117"/>
    <s v="Diesel"/>
    <n v="30"/>
    <n v="65.7"/>
    <n v="2"/>
  </r>
  <r>
    <x v="0"/>
    <x v="4"/>
    <n v="10900"/>
    <x v="0"/>
    <n v="79563"/>
    <s v="Diesel"/>
    <n v="125"/>
    <n v="60.1"/>
    <n v="2"/>
  </r>
  <r>
    <x v="7"/>
    <x v="2"/>
    <n v="12200"/>
    <x v="1"/>
    <n v="34842"/>
    <s v="Diesel"/>
    <n v="30"/>
    <n v="67.3"/>
    <n v="2"/>
  </r>
  <r>
    <x v="4"/>
    <x v="2"/>
    <n v="10600"/>
    <x v="1"/>
    <n v="24313"/>
    <s v="Diesel"/>
    <n v="0"/>
    <n v="74.3"/>
    <n v="1.5"/>
  </r>
  <r>
    <x v="4"/>
    <x v="4"/>
    <n v="9100"/>
    <x v="1"/>
    <n v="40789"/>
    <s v="Diesel"/>
    <n v="0"/>
    <n v="74.3"/>
    <n v="1.5"/>
  </r>
  <r>
    <x v="7"/>
    <x v="3"/>
    <n v="12600"/>
    <x v="0"/>
    <n v="66743"/>
    <s v="Diesel"/>
    <n v="30"/>
    <n v="67.3"/>
    <n v="2"/>
  </r>
  <r>
    <x v="0"/>
    <x v="2"/>
    <n v="13600"/>
    <x v="0"/>
    <n v="65612"/>
    <s v="Diesel"/>
    <n v="30"/>
    <n v="62.8"/>
    <n v="2"/>
  </r>
  <r>
    <x v="2"/>
    <x v="2"/>
    <n v="11700"/>
    <x v="1"/>
    <n v="21390"/>
    <s v="Diesel"/>
    <n v="20"/>
    <n v="72.400000000000006"/>
    <n v="1.5"/>
  </r>
  <r>
    <x v="7"/>
    <x v="3"/>
    <n v="12450"/>
    <x v="0"/>
    <n v="72065"/>
    <s v="Diesel"/>
    <n v="20"/>
    <n v="70.599999999999994"/>
    <n v="2"/>
  </r>
  <r>
    <x v="0"/>
    <x v="2"/>
    <n v="13500"/>
    <x v="0"/>
    <n v="62444"/>
    <s v="Diesel"/>
    <n v="125"/>
    <n v="60.1"/>
    <n v="2"/>
  </r>
  <r>
    <x v="6"/>
    <x v="6"/>
    <n v="12750"/>
    <x v="0"/>
    <n v="71558"/>
    <s v="Diesel"/>
    <n v="160"/>
    <n v="50.4"/>
    <n v="2"/>
  </r>
  <r>
    <x v="11"/>
    <x v="3"/>
    <n v="16700"/>
    <x v="0"/>
    <n v="34666"/>
    <s v="Diesel"/>
    <n v="145"/>
    <n v="65.7"/>
    <n v="2"/>
  </r>
  <r>
    <x v="2"/>
    <x v="2"/>
    <n v="11400"/>
    <x v="1"/>
    <n v="22920"/>
    <s v="Diesel"/>
    <n v="20"/>
    <n v="72.400000000000006"/>
    <n v="1.5"/>
  </r>
  <r>
    <x v="8"/>
    <x v="2"/>
    <n v="21000"/>
    <x v="0"/>
    <n v="71626"/>
    <s v="Other"/>
    <n v="0"/>
    <n v="85.6"/>
    <n v="2"/>
  </r>
  <r>
    <x v="11"/>
    <x v="3"/>
    <n v="14700"/>
    <x v="1"/>
    <n v="38405"/>
    <s v="Diesel"/>
    <n v="145"/>
    <n v="68.900000000000006"/>
    <n v="2"/>
  </r>
  <r>
    <x v="7"/>
    <x v="1"/>
    <n v="19000"/>
    <x v="0"/>
    <n v="20681"/>
    <s v="Diesel"/>
    <n v="145"/>
    <n v="64.2"/>
    <n v="2"/>
  </r>
  <r>
    <x v="7"/>
    <x v="3"/>
    <n v="15400"/>
    <x v="0"/>
    <n v="20529"/>
    <s v="Diesel"/>
    <n v="145"/>
    <n v="65.7"/>
    <n v="2"/>
  </r>
  <r>
    <x v="6"/>
    <x v="2"/>
    <n v="19000"/>
    <x v="0"/>
    <n v="42691"/>
    <s v="Diesel"/>
    <n v="145"/>
    <n v="54.3"/>
    <n v="2"/>
  </r>
  <r>
    <x v="2"/>
    <x v="1"/>
    <n v="15000"/>
    <x v="0"/>
    <n v="10058"/>
    <s v="Petrol"/>
    <n v="145"/>
    <n v="37.200000000000003"/>
    <n v="1.5"/>
  </r>
  <r>
    <x v="7"/>
    <x v="2"/>
    <n v="17950"/>
    <x v="0"/>
    <n v="40337"/>
    <s v="Diesel"/>
    <n v="145"/>
    <n v="53.3"/>
    <n v="3"/>
  </r>
  <r>
    <x v="0"/>
    <x v="1"/>
    <n v="22600"/>
    <x v="0"/>
    <n v="23195"/>
    <s v="Diesel"/>
    <n v="145"/>
    <n v="65.7"/>
    <n v="2"/>
  </r>
  <r>
    <x v="2"/>
    <x v="3"/>
    <n v="13200"/>
    <x v="1"/>
    <n v="17117"/>
    <s v="Petrol"/>
    <n v="145"/>
    <n v="53.3"/>
    <n v="1.5"/>
  </r>
  <r>
    <x v="7"/>
    <x v="3"/>
    <n v="12750"/>
    <x v="1"/>
    <n v="22153"/>
    <s v="Diesel"/>
    <n v="150"/>
    <n v="68.900000000000006"/>
    <n v="2"/>
  </r>
  <r>
    <x v="7"/>
    <x v="4"/>
    <n v="9750"/>
    <x v="1"/>
    <n v="56038"/>
    <s v="Diesel"/>
    <n v="20"/>
    <n v="68.900000000000006"/>
    <n v="2"/>
  </r>
  <r>
    <x v="7"/>
    <x v="3"/>
    <n v="10900"/>
    <x v="0"/>
    <n v="78345"/>
    <s v="Diesel"/>
    <n v="0"/>
    <n v="74.3"/>
    <n v="2"/>
  </r>
  <r>
    <x v="9"/>
    <x v="2"/>
    <n v="21400"/>
    <x v="0"/>
    <n v="31084"/>
    <s v="Diesel"/>
    <n v="145"/>
    <n v="54.3"/>
    <n v="2"/>
  </r>
  <r>
    <x v="2"/>
    <x v="3"/>
    <n v="14600"/>
    <x v="0"/>
    <n v="5615"/>
    <s v="Petrol"/>
    <n v="145"/>
    <n v="58.9"/>
    <n v="1.5"/>
  </r>
  <r>
    <x v="7"/>
    <x v="3"/>
    <n v="12600"/>
    <x v="0"/>
    <n v="55751"/>
    <s v="Petrol"/>
    <n v="150"/>
    <n v="51.4"/>
    <n v="1.5"/>
  </r>
  <r>
    <x v="9"/>
    <x v="3"/>
    <n v="22500"/>
    <x v="0"/>
    <n v="35016"/>
    <s v="Diesel"/>
    <n v="150"/>
    <n v="54.3"/>
    <n v="2"/>
  </r>
  <r>
    <x v="2"/>
    <x v="2"/>
    <n v="8000"/>
    <x v="1"/>
    <n v="81579"/>
    <s v="Diesel"/>
    <n v="0"/>
    <n v="83.1"/>
    <n v="1.5"/>
  </r>
  <r>
    <x v="11"/>
    <x v="3"/>
    <n v="14800"/>
    <x v="1"/>
    <n v="31518"/>
    <s v="Diesel"/>
    <n v="145"/>
    <n v="60.1"/>
    <n v="2"/>
  </r>
  <r>
    <x v="2"/>
    <x v="2"/>
    <n v="9900"/>
    <x v="1"/>
    <n v="44008"/>
    <s v="Diesel"/>
    <n v="0"/>
    <n v="83.1"/>
    <n v="1.5"/>
  </r>
  <r>
    <x v="4"/>
    <x v="2"/>
    <n v="9500"/>
    <x v="1"/>
    <n v="59509"/>
    <s v="Diesel"/>
    <n v="20"/>
    <n v="68.900000000000006"/>
    <n v="2"/>
  </r>
  <r>
    <x v="7"/>
    <x v="3"/>
    <n v="17950"/>
    <x v="0"/>
    <n v="43703"/>
    <s v="Other"/>
    <n v="140"/>
    <n v="134.5"/>
    <n v="2"/>
  </r>
  <r>
    <x v="2"/>
    <x v="2"/>
    <n v="14200"/>
    <x v="0"/>
    <n v="36858"/>
    <s v="Diesel"/>
    <n v="125"/>
    <n v="60.1"/>
    <n v="2"/>
  </r>
  <r>
    <x v="2"/>
    <x v="2"/>
    <n v="12100"/>
    <x v="0"/>
    <n v="25786"/>
    <s v="Diesel"/>
    <n v="0"/>
    <n v="74.3"/>
    <n v="2"/>
  </r>
  <r>
    <x v="2"/>
    <x v="2"/>
    <n v="12700"/>
    <x v="0"/>
    <n v="24592"/>
    <s v="Diesel"/>
    <n v="20"/>
    <n v="68.900000000000006"/>
    <n v="2"/>
  </r>
  <r>
    <x v="2"/>
    <x v="2"/>
    <n v="8800"/>
    <x v="1"/>
    <n v="51002"/>
    <s v="Diesel"/>
    <n v="0"/>
    <n v="83.1"/>
    <n v="1.5"/>
  </r>
  <r>
    <x v="2"/>
    <x v="3"/>
    <n v="15000"/>
    <x v="0"/>
    <n v="26052"/>
    <s v="Diesel"/>
    <n v="145"/>
    <n v="68.900000000000006"/>
    <n v="2"/>
  </r>
  <r>
    <x v="7"/>
    <x v="3"/>
    <n v="17100"/>
    <x v="0"/>
    <n v="31528"/>
    <s v="Diesel"/>
    <n v="145"/>
    <n v="64.2"/>
    <n v="2"/>
  </r>
  <r>
    <x v="6"/>
    <x v="3"/>
    <n v="21750"/>
    <x v="0"/>
    <n v="25776"/>
    <s v="Diesel"/>
    <n v="200"/>
    <n v="47.9"/>
    <n v="3"/>
  </r>
  <r>
    <x v="2"/>
    <x v="2"/>
    <n v="13400"/>
    <x v="1"/>
    <n v="18055"/>
    <s v="Petrol"/>
    <n v="125"/>
    <n v="52.3"/>
    <n v="1.5"/>
  </r>
  <r>
    <x v="7"/>
    <x v="0"/>
    <n v="9900"/>
    <x v="0"/>
    <n v="63223"/>
    <s v="Diesel"/>
    <n v="20"/>
    <n v="68.900000000000006"/>
    <n v="2"/>
  </r>
  <r>
    <x v="2"/>
    <x v="2"/>
    <n v="13700"/>
    <x v="1"/>
    <n v="8719"/>
    <s v="Petrol"/>
    <n v="125"/>
    <n v="52.3"/>
    <n v="1.5"/>
  </r>
  <r>
    <x v="5"/>
    <x v="1"/>
    <n v="16900"/>
    <x v="0"/>
    <n v="27133"/>
    <s v="Petrol"/>
    <n v="145"/>
    <n v="44.8"/>
    <n v="2"/>
  </r>
  <r>
    <x v="0"/>
    <x v="1"/>
    <n v="21950"/>
    <x v="0"/>
    <n v="21947"/>
    <s v="Diesel"/>
    <n v="150"/>
    <n v="68.900000000000006"/>
    <n v="2"/>
  </r>
  <r>
    <x v="11"/>
    <x v="6"/>
    <n v="8750"/>
    <x v="1"/>
    <n v="80625"/>
    <s v="Diesel"/>
    <n v="160"/>
    <n v="51.4"/>
    <n v="2"/>
  </r>
  <r>
    <x v="7"/>
    <x v="3"/>
    <n v="17000"/>
    <x v="0"/>
    <n v="31501"/>
    <s v="Other"/>
    <n v="0"/>
    <n v="134.5"/>
    <n v="2"/>
  </r>
  <r>
    <x v="2"/>
    <x v="2"/>
    <n v="13750"/>
    <x v="0"/>
    <n v="8707"/>
    <s v="Petrol"/>
    <n v="30"/>
    <n v="55.5"/>
    <n v="1.5"/>
  </r>
  <r>
    <x v="2"/>
    <x v="3"/>
    <n v="12800"/>
    <x v="1"/>
    <n v="10861"/>
    <s v="Petrol"/>
    <n v="125"/>
    <n v="53.3"/>
    <n v="1.5"/>
  </r>
  <r>
    <x v="5"/>
    <x v="3"/>
    <n v="16000"/>
    <x v="1"/>
    <n v="16359"/>
    <s v="Petrol"/>
    <n v="145"/>
    <n v="46.3"/>
    <n v="2"/>
  </r>
  <r>
    <x v="5"/>
    <x v="3"/>
    <n v="16600"/>
    <x v="0"/>
    <n v="46913"/>
    <s v="Diesel"/>
    <n v="145"/>
    <n v="65.7"/>
    <n v="2"/>
  </r>
  <r>
    <x v="7"/>
    <x v="3"/>
    <n v="15100"/>
    <x v="1"/>
    <n v="37747"/>
    <s v="Diesel"/>
    <n v="125"/>
    <n v="60.1"/>
    <n v="2"/>
  </r>
  <r>
    <x v="5"/>
    <x v="3"/>
    <n v="16750"/>
    <x v="1"/>
    <n v="24882"/>
    <s v="Petrol"/>
    <n v="145"/>
    <n v="46.3"/>
    <n v="2"/>
  </r>
  <r>
    <x v="2"/>
    <x v="4"/>
    <n v="12450"/>
    <x v="1"/>
    <n v="24474"/>
    <s v="Petrol"/>
    <n v="125"/>
    <n v="52.3"/>
    <n v="1.5"/>
  </r>
  <r>
    <x v="7"/>
    <x v="1"/>
    <n v="15700"/>
    <x v="0"/>
    <n v="29394"/>
    <s v="Petrol"/>
    <n v="145"/>
    <n v="48.7"/>
    <n v="2"/>
  </r>
  <r>
    <x v="0"/>
    <x v="2"/>
    <n v="12600"/>
    <x v="1"/>
    <n v="59528"/>
    <s v="Diesel"/>
    <n v="125"/>
    <n v="60.1"/>
    <n v="2"/>
  </r>
  <r>
    <x v="4"/>
    <x v="2"/>
    <n v="14600"/>
    <x v="1"/>
    <n v="15577"/>
    <s v="Petrol"/>
    <n v="160"/>
    <n v="44.1"/>
    <n v="2"/>
  </r>
  <r>
    <x v="11"/>
    <x v="2"/>
    <n v="13700"/>
    <x v="1"/>
    <n v="52226"/>
    <s v="Diesel"/>
    <n v="20"/>
    <n v="68.900000000000006"/>
    <n v="2"/>
  </r>
  <r>
    <x v="7"/>
    <x v="3"/>
    <n v="16900"/>
    <x v="0"/>
    <n v="12330"/>
    <s v="Diesel"/>
    <n v="30"/>
    <n v="64.2"/>
    <n v="2"/>
  </r>
  <r>
    <x v="5"/>
    <x v="4"/>
    <n v="15998"/>
    <x v="2"/>
    <n v="62943"/>
    <s v="Diesel"/>
    <n v="30"/>
    <n v="65.7"/>
    <n v="2"/>
  </r>
  <r>
    <x v="11"/>
    <x v="7"/>
    <n v="31498"/>
    <x v="2"/>
    <n v="1560"/>
    <s v="Diesel"/>
    <n v="145"/>
    <n v="60.1"/>
    <n v="2"/>
  </r>
  <r>
    <x v="4"/>
    <x v="7"/>
    <n v="27998"/>
    <x v="1"/>
    <n v="1580"/>
    <s v="Petrol"/>
    <n v="150"/>
    <n v="43.5"/>
    <n v="1.5"/>
  </r>
  <r>
    <x v="8"/>
    <x v="7"/>
    <n v="54998"/>
    <x v="2"/>
    <n v="1500"/>
    <s v="Diesel"/>
    <n v="150"/>
    <n v="37.700000000000003"/>
    <n v="3"/>
  </r>
  <r>
    <x v="7"/>
    <x v="0"/>
    <n v="11998"/>
    <x v="1"/>
    <n v="11545"/>
    <s v="Petrol"/>
    <n v="165"/>
    <n v="44.8"/>
    <n v="2"/>
  </r>
  <r>
    <x v="4"/>
    <x v="7"/>
    <n v="25998"/>
    <x v="0"/>
    <n v="3160"/>
    <s v="Hybrid"/>
    <n v="140"/>
    <n v="113"/>
    <n v="1.5"/>
  </r>
  <r>
    <x v="2"/>
    <x v="7"/>
    <n v="31998"/>
    <x v="2"/>
    <n v="1560"/>
    <s v="Diesel"/>
    <n v="150"/>
    <n v="48.7"/>
    <n v="2"/>
  </r>
  <r>
    <x v="13"/>
    <x v="7"/>
    <n v="29998"/>
    <x v="1"/>
    <n v="1850"/>
    <s v="Diesel"/>
    <n v="150"/>
    <n v="49.6"/>
    <n v="2"/>
  </r>
  <r>
    <x v="9"/>
    <x v="5"/>
    <n v="33998"/>
    <x v="2"/>
    <n v="7272"/>
    <s v="Diesel"/>
    <n v="150"/>
    <n v="42.8"/>
    <n v="2"/>
  </r>
  <r>
    <x v="9"/>
    <x v="5"/>
    <n v="33998"/>
    <x v="2"/>
    <n v="7272"/>
    <s v="Diesel"/>
    <n v="150"/>
    <n v="42.8"/>
    <n v="2"/>
  </r>
  <r>
    <x v="2"/>
    <x v="3"/>
    <n v="14995"/>
    <x v="1"/>
    <n v="19866"/>
    <s v="Diesel"/>
    <n v="30"/>
    <n v="65.7"/>
    <n v="2"/>
  </r>
  <r>
    <x v="5"/>
    <x v="2"/>
    <n v="17995"/>
    <x v="2"/>
    <n v="22476"/>
    <s v="Petrol"/>
    <n v="145"/>
    <n v="48.7"/>
    <n v="2"/>
  </r>
  <r>
    <x v="2"/>
    <x v="6"/>
    <n v="14498"/>
    <x v="2"/>
    <n v="42786"/>
    <s v="Petrol"/>
    <n v="235"/>
    <n v="37.700000000000003"/>
    <n v="3"/>
  </r>
  <r>
    <x v="2"/>
    <x v="4"/>
    <n v="10998"/>
    <x v="1"/>
    <n v="42410"/>
    <s v="Diesel"/>
    <n v="30"/>
    <n v="65.7"/>
    <n v="2"/>
  </r>
  <r>
    <x v="0"/>
    <x v="0"/>
    <n v="11998"/>
    <x v="2"/>
    <n v="60681"/>
    <s v="Diesel"/>
    <n v="125"/>
    <n v="57.6"/>
    <n v="2"/>
  </r>
  <r>
    <x v="11"/>
    <x v="2"/>
    <n v="14498"/>
    <x v="1"/>
    <n v="57717"/>
    <s v="Diesel"/>
    <n v="125"/>
    <n v="58.9"/>
    <n v="2"/>
  </r>
  <r>
    <x v="7"/>
    <x v="3"/>
    <n v="16998"/>
    <x v="2"/>
    <n v="8096"/>
    <s v="Petrol"/>
    <n v="145"/>
    <n v="51.4"/>
    <n v="2"/>
  </r>
  <r>
    <x v="2"/>
    <x v="4"/>
    <n v="11498"/>
    <x v="1"/>
    <n v="49151"/>
    <s v="Diesel"/>
    <n v="30"/>
    <n v="62.8"/>
    <n v="2"/>
  </r>
  <r>
    <x v="14"/>
    <x v="3"/>
    <n v="29498"/>
    <x v="2"/>
    <n v="40429"/>
    <s v="Diesel"/>
    <n v="200"/>
    <n v="47.1"/>
    <n v="3"/>
  </r>
  <r>
    <x v="12"/>
    <x v="2"/>
    <n v="31498"/>
    <x v="2"/>
    <n v="21107"/>
    <s v="Petrol"/>
    <n v="300"/>
    <n v="34"/>
    <n v="3"/>
  </r>
  <r>
    <x v="2"/>
    <x v="2"/>
    <n v="19498"/>
    <x v="2"/>
    <n v="33043"/>
    <s v="Petrol"/>
    <n v="200"/>
    <n v="39.799999999999997"/>
    <n v="3"/>
  </r>
  <r>
    <x v="11"/>
    <x v="2"/>
    <n v="17998"/>
    <x v="2"/>
    <n v="50378"/>
    <s v="Diesel"/>
    <n v="125"/>
    <n v="57.6"/>
    <n v="2"/>
  </r>
  <r>
    <x v="0"/>
    <x v="5"/>
    <n v="25998"/>
    <x v="2"/>
    <n v="11115"/>
    <s v="Diesel"/>
    <n v="145"/>
    <n v="65.7"/>
    <n v="2"/>
  </r>
  <r>
    <x v="11"/>
    <x v="6"/>
    <n v="8298"/>
    <x v="1"/>
    <n v="69020"/>
    <s v="Diesel"/>
    <n v="125"/>
    <n v="57.6"/>
    <n v="2"/>
  </r>
  <r>
    <x v="15"/>
    <x v="5"/>
    <n v="61898"/>
    <x v="2"/>
    <n v="2650"/>
    <s v="Diesel"/>
    <n v="145"/>
    <n v="39.799999999999997"/>
    <n v="3"/>
  </r>
  <r>
    <x v="2"/>
    <x v="0"/>
    <n v="13298"/>
    <x v="1"/>
    <n v="55834"/>
    <s v="Petrol"/>
    <n v="300"/>
    <n v="35.299999999999997"/>
    <n v="3"/>
  </r>
  <r>
    <x v="7"/>
    <x v="5"/>
    <n v="21898"/>
    <x v="2"/>
    <n v="5761"/>
    <s v="Diesel"/>
    <n v="150"/>
    <n v="55.4"/>
    <n v="2"/>
  </r>
  <r>
    <x v="2"/>
    <x v="3"/>
    <n v="11498"/>
    <x v="2"/>
    <n v="47110"/>
    <s v="Diesel"/>
    <n v="0"/>
    <n v="78.5"/>
    <n v="1.5"/>
  </r>
  <r>
    <x v="6"/>
    <x v="0"/>
    <n v="17495"/>
    <x v="2"/>
    <n v="54075"/>
    <s v="Diesel"/>
    <n v="145"/>
    <n v="54.3"/>
    <n v="2"/>
  </r>
  <r>
    <x v="0"/>
    <x v="4"/>
    <n v="14998"/>
    <x v="2"/>
    <n v="45152"/>
    <s v="Diesel"/>
    <n v="30"/>
    <n v="62.8"/>
    <n v="2"/>
  </r>
  <r>
    <x v="4"/>
    <x v="0"/>
    <n v="10498"/>
    <x v="1"/>
    <n v="52091"/>
    <s v="Diesel"/>
    <n v="125"/>
    <n v="58.9"/>
    <n v="2"/>
  </r>
  <r>
    <x v="2"/>
    <x v="5"/>
    <n v="19998"/>
    <x v="2"/>
    <n v="4812"/>
    <s v="Petrol"/>
    <n v="145"/>
    <n v="47.9"/>
    <n v="2"/>
  </r>
  <r>
    <x v="11"/>
    <x v="2"/>
    <n v="16698"/>
    <x v="2"/>
    <n v="37272"/>
    <s v="Petrol"/>
    <n v="160"/>
    <n v="44.8"/>
    <n v="2"/>
  </r>
  <r>
    <x v="7"/>
    <x v="5"/>
    <n v="27998"/>
    <x v="2"/>
    <n v="4250"/>
    <s v="Diesel"/>
    <n v="145"/>
    <n v="48.7"/>
    <n v="2"/>
  </r>
  <r>
    <x v="0"/>
    <x v="1"/>
    <n v="27798"/>
    <x v="2"/>
    <n v="15711"/>
    <s v="Diesel"/>
    <n v="145"/>
    <n v="60.1"/>
    <n v="3"/>
  </r>
  <r>
    <x v="2"/>
    <x v="2"/>
    <n v="18298"/>
    <x v="1"/>
    <n v="21236"/>
    <s v="Petrol"/>
    <n v="260"/>
    <n v="36.200000000000003"/>
    <n v="3"/>
  </r>
  <r>
    <x v="2"/>
    <x v="3"/>
    <n v="14698"/>
    <x v="2"/>
    <n v="24008"/>
    <s v="Petrol"/>
    <n v="145"/>
    <n v="55.5"/>
    <n v="1.5"/>
  </r>
  <r>
    <x v="11"/>
    <x v="2"/>
    <n v="18498"/>
    <x v="2"/>
    <n v="25994"/>
    <s v="Diesel"/>
    <n v="145"/>
    <n v="55.4"/>
    <n v="2"/>
  </r>
  <r>
    <x v="8"/>
    <x v="4"/>
    <n v="27998"/>
    <x v="0"/>
    <n v="24188"/>
    <s v="Diesel"/>
    <n v="200"/>
    <n v="47.1"/>
    <n v="3"/>
  </r>
  <r>
    <x v="8"/>
    <x v="4"/>
    <n v="21498"/>
    <x v="0"/>
    <n v="59216"/>
    <s v="Diesel"/>
    <n v="200"/>
    <n v="47.9"/>
    <n v="3"/>
  </r>
  <r>
    <x v="2"/>
    <x v="3"/>
    <n v="19498"/>
    <x v="1"/>
    <n v="21171"/>
    <s v="Petrol"/>
    <n v="260"/>
    <n v="36.200000000000003"/>
    <n v="3"/>
  </r>
  <r>
    <x v="2"/>
    <x v="3"/>
    <n v="14498"/>
    <x v="1"/>
    <n v="24259"/>
    <s v="Petrol"/>
    <n v="145"/>
    <n v="52.3"/>
    <n v="1.5"/>
  </r>
  <r>
    <x v="0"/>
    <x v="3"/>
    <n v="22998"/>
    <x v="2"/>
    <n v="19379"/>
    <s v="Diesel"/>
    <n v="145"/>
    <n v="65.7"/>
    <n v="2"/>
  </r>
  <r>
    <x v="2"/>
    <x v="3"/>
    <n v="14498"/>
    <x v="1"/>
    <n v="20790"/>
    <s v="Diesel"/>
    <n v="145"/>
    <n v="70.599999999999994"/>
    <n v="1.5"/>
  </r>
  <r>
    <x v="0"/>
    <x v="5"/>
    <n v="29898"/>
    <x v="2"/>
    <n v="2743"/>
    <s v="Diesel"/>
    <n v="145"/>
    <n v="60.1"/>
    <n v="2"/>
  </r>
  <r>
    <x v="7"/>
    <x v="5"/>
    <n v="22998"/>
    <x v="2"/>
    <n v="6000"/>
    <s v="Petrol"/>
    <n v="145"/>
    <n v="48.7"/>
    <n v="2"/>
  </r>
  <r>
    <x v="7"/>
    <x v="5"/>
    <n v="29998"/>
    <x v="1"/>
    <n v="3980"/>
    <s v="Diesel"/>
    <n v="145"/>
    <n v="53.3"/>
    <n v="2"/>
  </r>
  <r>
    <x v="5"/>
    <x v="5"/>
    <n v="29898"/>
    <x v="2"/>
    <n v="101"/>
    <s v="Diesel"/>
    <n v="145"/>
    <n v="60.1"/>
    <n v="2"/>
  </r>
  <r>
    <x v="0"/>
    <x v="3"/>
    <n v="20498"/>
    <x v="2"/>
    <n v="12725"/>
    <s v="Diesel"/>
    <n v="145"/>
    <n v="68.900000000000006"/>
    <n v="2"/>
  </r>
  <r>
    <x v="7"/>
    <x v="5"/>
    <n v="27650"/>
    <x v="2"/>
    <n v="18200"/>
    <s v="Diesel"/>
    <n v="150"/>
    <n v="48.7"/>
    <n v="2"/>
  </r>
  <r>
    <x v="16"/>
    <x v="2"/>
    <n v="18650"/>
    <x v="2"/>
    <n v="25300"/>
    <s v="Petrol"/>
    <n v="205"/>
    <n v="41.5"/>
    <n v="2"/>
  </r>
  <r>
    <x v="5"/>
    <x v="1"/>
    <n v="22995"/>
    <x v="0"/>
    <n v="7200"/>
    <s v="Petrol"/>
    <n v="145"/>
    <n v="48.7"/>
    <n v="2"/>
  </r>
  <r>
    <x v="14"/>
    <x v="1"/>
    <n v="36995"/>
    <x v="2"/>
    <n v="6100"/>
    <s v="Diesel"/>
    <n v="145"/>
    <n v="47.1"/>
    <n v="3"/>
  </r>
  <r>
    <x v="0"/>
    <x v="1"/>
    <n v="26995"/>
    <x v="0"/>
    <n v="6800"/>
    <s v="Diesel"/>
    <n v="145"/>
    <n v="68.900000000000006"/>
    <n v="2"/>
  </r>
  <r>
    <x v="2"/>
    <x v="6"/>
    <n v="11995"/>
    <x v="1"/>
    <n v="31600"/>
    <s v="Diesel"/>
    <n v="125"/>
    <n v="57.6"/>
    <n v="2"/>
  </r>
  <r>
    <x v="0"/>
    <x v="1"/>
    <n v="25995"/>
    <x v="2"/>
    <n v="8700"/>
    <s v="Diesel"/>
    <n v="145"/>
    <n v="49.6"/>
    <n v="2"/>
  </r>
  <r>
    <x v="14"/>
    <x v="2"/>
    <n v="29995"/>
    <x v="0"/>
    <n v="43600"/>
    <s v="Diesel"/>
    <n v="200"/>
    <n v="44.8"/>
    <n v="3"/>
  </r>
  <r>
    <x v="7"/>
    <x v="1"/>
    <n v="21495"/>
    <x v="2"/>
    <n v="16452"/>
    <s v="Petrol"/>
    <n v="150"/>
    <n v="48.7"/>
    <n v="2"/>
  </r>
  <r>
    <x v="0"/>
    <x v="3"/>
    <n v="22998"/>
    <x v="0"/>
    <n v="15838"/>
    <s v="Diesel"/>
    <n v="145"/>
    <n v="60.1"/>
    <n v="2"/>
  </r>
  <r>
    <x v="0"/>
    <x v="5"/>
    <n v="34498"/>
    <x v="0"/>
    <n v="6775"/>
    <s v="Diesel"/>
    <n v="145"/>
    <n v="51.4"/>
    <n v="3"/>
  </r>
  <r>
    <x v="2"/>
    <x v="5"/>
    <n v="18498"/>
    <x v="2"/>
    <n v="11234"/>
    <s v="Diesel"/>
    <n v="145"/>
    <n v="68.900000000000006"/>
    <n v="2"/>
  </r>
  <r>
    <x v="3"/>
    <x v="5"/>
    <n v="45898"/>
    <x v="2"/>
    <n v="5893"/>
    <s v="Diesel"/>
    <n v="145"/>
    <n v="44.1"/>
    <n v="3"/>
  </r>
  <r>
    <x v="6"/>
    <x v="5"/>
    <n v="37898"/>
    <x v="2"/>
    <n v="9781"/>
    <s v="Diesel"/>
    <n v="145"/>
    <n v="48.7"/>
    <n v="3"/>
  </r>
  <r>
    <x v="8"/>
    <x v="2"/>
    <n v="34498"/>
    <x v="0"/>
    <n v="17303"/>
    <s v="Hybrid"/>
    <n v="0"/>
    <n v="85.6"/>
    <n v="2"/>
  </r>
  <r>
    <x v="2"/>
    <x v="2"/>
    <n v="17998"/>
    <x v="1"/>
    <n v="25334"/>
    <s v="Petrol"/>
    <n v="300"/>
    <n v="35.299999999999997"/>
    <n v="3"/>
  </r>
  <r>
    <x v="7"/>
    <x v="2"/>
    <n v="18498"/>
    <x v="2"/>
    <n v="36501"/>
    <s v="Diesel"/>
    <n v="145"/>
    <n v="53.3"/>
    <n v="3"/>
  </r>
  <r>
    <x v="4"/>
    <x v="5"/>
    <n v="23998"/>
    <x v="2"/>
    <n v="2318"/>
    <s v="Petrol"/>
    <n v="145"/>
    <n v="47.9"/>
    <n v="2"/>
  </r>
  <r>
    <x v="11"/>
    <x v="3"/>
    <n v="21498"/>
    <x v="2"/>
    <n v="14418"/>
    <s v="Diesel"/>
    <n v="145"/>
    <n v="55.4"/>
    <n v="2"/>
  </r>
  <r>
    <x v="11"/>
    <x v="3"/>
    <n v="18500"/>
    <x v="2"/>
    <n v="12160"/>
    <s v="Diesel"/>
    <n v="145"/>
    <n v="65.7"/>
    <n v="2"/>
  </r>
  <r>
    <x v="6"/>
    <x v="1"/>
    <n v="31000"/>
    <x v="2"/>
    <n v="20290"/>
    <s v="Diesel"/>
    <n v="145"/>
    <n v="48.7"/>
    <n v="3"/>
  </r>
  <r>
    <x v="11"/>
    <x v="2"/>
    <n v="19500"/>
    <x v="2"/>
    <n v="13690"/>
    <s v="Diesel"/>
    <n v="125"/>
    <n v="57.6"/>
    <n v="2"/>
  </r>
  <r>
    <x v="8"/>
    <x v="3"/>
    <n v="34000"/>
    <x v="0"/>
    <n v="22158"/>
    <s v="Diesel"/>
    <n v="205"/>
    <n v="47.1"/>
    <n v="3"/>
  </r>
  <r>
    <x v="8"/>
    <x v="4"/>
    <n v="28000"/>
    <x v="0"/>
    <n v="36174"/>
    <s v="Diesel"/>
    <n v="205"/>
    <n v="47.1"/>
    <n v="3"/>
  </r>
  <r>
    <x v="7"/>
    <x v="1"/>
    <n v="22000"/>
    <x v="2"/>
    <n v="30000"/>
    <s v="Diesel"/>
    <n v="150"/>
    <n v="53.3"/>
    <n v="3"/>
  </r>
  <r>
    <x v="2"/>
    <x v="2"/>
    <n v="16000"/>
    <x v="1"/>
    <n v="40125"/>
    <s v="Petrol"/>
    <n v="305"/>
    <n v="35.299999999999997"/>
    <n v="3"/>
  </r>
  <r>
    <x v="7"/>
    <x v="3"/>
    <n v="18000"/>
    <x v="1"/>
    <n v="20087"/>
    <s v="Petrol"/>
    <n v="165"/>
    <n v="44.8"/>
    <n v="2"/>
  </r>
  <r>
    <x v="17"/>
    <x v="7"/>
    <n v="78000"/>
    <x v="2"/>
    <n v="5000"/>
    <s v="Diesel"/>
    <n v="150"/>
    <n v="31.4"/>
    <n v="3"/>
  </r>
  <r>
    <x v="7"/>
    <x v="1"/>
    <n v="22500"/>
    <x v="2"/>
    <n v="11150"/>
    <s v="Petrol"/>
    <n v="145"/>
    <n v="48.7"/>
    <n v="2"/>
  </r>
  <r>
    <x v="2"/>
    <x v="1"/>
    <n v="15500"/>
    <x v="1"/>
    <n v="5827"/>
    <s v="Petrol"/>
    <n v="145"/>
    <n v="37.700000000000003"/>
    <n v="1.5"/>
  </r>
  <r>
    <x v="5"/>
    <x v="5"/>
    <n v="29000"/>
    <x v="2"/>
    <n v="14000"/>
    <s v="Diesel"/>
    <n v="145"/>
    <n v="50.4"/>
    <n v="3"/>
  </r>
  <r>
    <x v="5"/>
    <x v="5"/>
    <n v="24700"/>
    <x v="2"/>
    <n v="5196"/>
    <s v="Diesel"/>
    <n v="145"/>
    <n v="65.7"/>
    <n v="2"/>
  </r>
  <r>
    <x v="4"/>
    <x v="5"/>
    <n v="24000"/>
    <x v="2"/>
    <n v="2500"/>
    <s v="Petrol"/>
    <n v="145"/>
    <n v="39.200000000000003"/>
    <n v="1.5"/>
  </r>
  <r>
    <x v="2"/>
    <x v="1"/>
    <n v="16000"/>
    <x v="1"/>
    <n v="7000"/>
    <s v="Diesel"/>
    <n v="145"/>
    <n v="50.4"/>
    <n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9CF1E0-C3B8-437F-9809-3CDE2D7A11D8}"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F25" firstHeaderRow="1" firstDataRow="1" firstDataCol="1"/>
  <pivotFields count="9">
    <pivotField axis="axisRow" showAll="0">
      <items count="19">
        <item x="2"/>
        <item x="4"/>
        <item x="7"/>
        <item x="5"/>
        <item x="0"/>
        <item x="1"/>
        <item x="3"/>
        <item x="15"/>
        <item x="10"/>
        <item x="12"/>
        <item x="11"/>
        <item x="13"/>
        <item x="6"/>
        <item x="9"/>
        <item x="8"/>
        <item x="14"/>
        <item x="17"/>
        <item x="16"/>
        <item t="default"/>
      </items>
    </pivotField>
    <pivotField dataField="1" showAll="0"/>
    <pivotField showAll="0"/>
    <pivotField showAll="0">
      <items count="4">
        <item x="0"/>
        <item x="1"/>
        <item x="2"/>
        <item t="default"/>
      </items>
    </pivotField>
    <pivotField showAll="0"/>
    <pivotField showAll="0"/>
    <pivotField showAll="0"/>
    <pivotField showAll="0"/>
    <pivotField showAll="0"/>
  </pivotFields>
  <rowFields count="1">
    <field x="0"/>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year"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F50DE0-CCB9-49A3-9A41-39FA0867DC59}"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2">
    <pivotField dataField="1" subtotalTop="0" showAll="0" defaultSubtotal="0"/>
    <pivotField axis="axisRow" allDrilled="1" showAll="0" dataSourceSort="1" defaultAttributeDrillState="1">
      <items count="9">
        <item x="0"/>
        <item x="1"/>
        <item x="2"/>
        <item x="3"/>
        <item x="4"/>
        <item x="5"/>
        <item x="6"/>
        <item x="7"/>
        <item t="default"/>
      </items>
    </pivotField>
  </pivotFields>
  <rowFields count="1">
    <field x="1"/>
  </rowFields>
  <rowItems count="9">
    <i>
      <x/>
    </i>
    <i>
      <x v="1"/>
    </i>
    <i>
      <x v="2"/>
    </i>
    <i>
      <x v="3"/>
    </i>
    <i>
      <x v="4"/>
    </i>
    <i>
      <x v="5"/>
    </i>
    <i>
      <x v="6"/>
    </i>
    <i>
      <x v="7"/>
    </i>
    <i t="grand">
      <x/>
    </i>
  </rowItems>
  <colItems count="1">
    <i/>
  </colItems>
  <dataFields count="1">
    <dataField name="Sum of tax" fld="0" baseField="0" baseItem="0"/>
  </dataFields>
  <pivotHierarchies count="12">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UTUJA 1ST PROJECT (version 1).xlsb!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0C9ACC-3B54-4707-9F01-27B065428ED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F3:G8" firstHeaderRow="1" firstDataRow="1" firstDataCol="1"/>
  <pivotFields count="9">
    <pivotField dataField="1" showAll="0">
      <items count="19">
        <item x="2"/>
        <item x="4"/>
        <item x="7"/>
        <item x="5"/>
        <item x="0"/>
        <item x="1"/>
        <item x="3"/>
        <item x="15"/>
        <item x="10"/>
        <item x="12"/>
        <item x="11"/>
        <item x="13"/>
        <item x="6"/>
        <item x="9"/>
        <item x="8"/>
        <item x="14"/>
        <item x="17"/>
        <item x="16"/>
        <item t="default"/>
      </items>
    </pivotField>
    <pivotField showAll="0"/>
    <pivotField showAll="0">
      <items count="157">
        <item x="66"/>
        <item x="85"/>
        <item x="118"/>
        <item x="95"/>
        <item x="90"/>
        <item x="74"/>
        <item x="40"/>
        <item x="17"/>
        <item x="87"/>
        <item x="14"/>
        <item x="82"/>
        <item x="86"/>
        <item x="124"/>
        <item x="10"/>
        <item x="63"/>
        <item x="47"/>
        <item x="53"/>
        <item x="112"/>
        <item x="42"/>
        <item x="44"/>
        <item x="0"/>
        <item x="34"/>
        <item x="114"/>
        <item x="29"/>
        <item x="52"/>
        <item x="9"/>
        <item x="27"/>
        <item x="140"/>
        <item x="105"/>
        <item x="35"/>
        <item x="89"/>
        <item x="60"/>
        <item x="73"/>
        <item x="54"/>
        <item x="75"/>
        <item x="65"/>
        <item x="48"/>
        <item x="15"/>
        <item x="45"/>
        <item x="3"/>
        <item x="55"/>
        <item x="28"/>
        <item x="67"/>
        <item x="41"/>
        <item x="120"/>
        <item x="91"/>
        <item x="30"/>
        <item x="49"/>
        <item x="92"/>
        <item x="97"/>
        <item x="58"/>
        <item x="13"/>
        <item x="46"/>
        <item x="88"/>
        <item x="7"/>
        <item x="18"/>
        <item x="20"/>
        <item x="72"/>
        <item x="111"/>
        <item x="4"/>
        <item x="32"/>
        <item x="129"/>
        <item x="77"/>
        <item x="68"/>
        <item x="5"/>
        <item x="109"/>
        <item x="123"/>
        <item x="56"/>
        <item x="16"/>
        <item x="59"/>
        <item x="51"/>
        <item x="79"/>
        <item x="62"/>
        <item x="8"/>
        <item x="50"/>
        <item x="100"/>
        <item x="33"/>
        <item x="69"/>
        <item x="101"/>
        <item x="2"/>
        <item x="6"/>
        <item x="70"/>
        <item x="12"/>
        <item x="98"/>
        <item x="126"/>
        <item x="38"/>
        <item x="99"/>
        <item x="23"/>
        <item x="93"/>
        <item x="113"/>
        <item x="96"/>
        <item x="25"/>
        <item x="22"/>
        <item x="122"/>
        <item x="36"/>
        <item x="19"/>
        <item x="80"/>
        <item x="110"/>
        <item x="117"/>
        <item x="39"/>
        <item x="128"/>
        <item x="130"/>
        <item x="43"/>
        <item x="136"/>
        <item x="31"/>
        <item x="78"/>
        <item x="61"/>
        <item x="116"/>
        <item x="149"/>
        <item x="71"/>
        <item x="21"/>
        <item x="125"/>
        <item x="134"/>
        <item x="26"/>
        <item x="76"/>
        <item x="83"/>
        <item x="143"/>
        <item x="131"/>
        <item x="57"/>
        <item x="121"/>
        <item x="94"/>
        <item x="11"/>
        <item x="84"/>
        <item x="81"/>
        <item x="137"/>
        <item x="132"/>
        <item x="24"/>
        <item x="37"/>
        <item x="147"/>
        <item x="155"/>
        <item x="154"/>
        <item x="141"/>
        <item x="106"/>
        <item x="139"/>
        <item x="1"/>
        <item x="135"/>
        <item x="127"/>
        <item x="103"/>
        <item x="151"/>
        <item x="153"/>
        <item x="115"/>
        <item x="133"/>
        <item x="142"/>
        <item x="64"/>
        <item x="148"/>
        <item x="102"/>
        <item x="107"/>
        <item x="108"/>
        <item x="150"/>
        <item x="144"/>
        <item x="138"/>
        <item x="146"/>
        <item x="145"/>
        <item x="104"/>
        <item x="119"/>
        <item x="152"/>
        <item t="default"/>
      </items>
    </pivotField>
    <pivotField showAll="0"/>
    <pivotField showAll="0">
      <items count="246">
        <item x="209"/>
        <item x="167"/>
        <item x="165"/>
        <item x="166"/>
        <item x="170"/>
        <item x="228"/>
        <item x="243"/>
        <item x="186"/>
        <item x="206"/>
        <item x="169"/>
        <item x="208"/>
        <item x="195"/>
        <item x="193"/>
        <item x="238"/>
        <item x="242"/>
        <item x="130"/>
        <item x="188"/>
        <item x="240"/>
        <item x="223"/>
        <item x="207"/>
        <item x="214"/>
        <item x="39"/>
        <item x="221"/>
        <item x="215"/>
        <item x="244"/>
        <item x="213"/>
        <item x="171"/>
        <item x="178"/>
        <item x="217"/>
        <item x="152"/>
        <item x="147"/>
        <item x="224"/>
        <item x="122"/>
        <item x="7"/>
        <item x="153"/>
        <item x="184"/>
        <item x="239"/>
        <item x="40"/>
        <item x="222"/>
        <item x="59"/>
        <item x="168"/>
        <item x="230"/>
        <item x="163"/>
        <item x="210"/>
        <item x="232"/>
        <item x="78"/>
        <item x="241"/>
        <item x="43"/>
        <item x="94"/>
        <item x="229"/>
        <item x="1"/>
        <item x="161"/>
        <item x="196"/>
        <item x="220"/>
        <item x="58"/>
        <item x="154"/>
        <item x="219"/>
        <item x="15"/>
        <item x="70"/>
        <item x="92"/>
        <item x="125"/>
        <item x="225"/>
        <item x="68"/>
        <item x="50"/>
        <item x="145"/>
        <item x="211"/>
        <item x="77"/>
        <item x="14"/>
        <item x="80"/>
        <item x="204"/>
        <item x="172"/>
        <item x="89"/>
        <item x="237"/>
        <item x="231"/>
        <item x="120"/>
        <item x="119"/>
        <item x="205"/>
        <item x="56"/>
        <item x="181"/>
        <item x="202"/>
        <item x="197"/>
        <item x="112"/>
        <item x="41"/>
        <item x="60"/>
        <item x="149"/>
        <item x="126"/>
        <item x="233"/>
        <item x="26"/>
        <item x="24"/>
        <item x="173"/>
        <item x="67"/>
        <item x="18"/>
        <item x="34"/>
        <item x="25"/>
        <item x="124"/>
        <item x="198"/>
        <item x="33"/>
        <item x="66"/>
        <item x="200"/>
        <item x="203"/>
        <item x="108"/>
        <item x="158"/>
        <item x="140"/>
        <item x="157"/>
        <item x="44"/>
        <item x="32"/>
        <item x="212"/>
        <item x="226"/>
        <item x="144"/>
        <item x="139"/>
        <item x="199"/>
        <item x="142"/>
        <item x="98"/>
        <item x="64"/>
        <item x="65"/>
        <item x="3"/>
        <item x="148"/>
        <item x="52"/>
        <item x="61"/>
        <item x="103"/>
        <item x="22"/>
        <item x="37"/>
        <item x="159"/>
        <item x="74"/>
        <item x="11"/>
        <item x="102"/>
        <item x="235"/>
        <item x="71"/>
        <item x="57"/>
        <item x="88"/>
        <item x="75"/>
        <item x="129"/>
        <item x="96"/>
        <item x="13"/>
        <item x="151"/>
        <item x="134"/>
        <item x="143"/>
        <item x="216"/>
        <item x="54"/>
        <item x="86"/>
        <item x="182"/>
        <item x="38"/>
        <item x="79"/>
        <item x="93"/>
        <item x="101"/>
        <item x="116"/>
        <item x="107"/>
        <item x="31"/>
        <item x="90"/>
        <item x="132"/>
        <item x="5"/>
        <item x="69"/>
        <item x="62"/>
        <item x="9"/>
        <item x="234"/>
        <item x="227"/>
        <item x="83"/>
        <item x="138"/>
        <item x="97"/>
        <item x="194"/>
        <item x="156"/>
        <item x="118"/>
        <item x="6"/>
        <item x="99"/>
        <item x="87"/>
        <item x="4"/>
        <item x="236"/>
        <item x="123"/>
        <item x="49"/>
        <item x="180"/>
        <item x="109"/>
        <item x="175"/>
        <item x="8"/>
        <item x="121"/>
        <item x="174"/>
        <item x="218"/>
        <item x="137"/>
        <item x="135"/>
        <item x="30"/>
        <item x="45"/>
        <item x="23"/>
        <item x="91"/>
        <item x="191"/>
        <item x="17"/>
        <item x="47"/>
        <item x="81"/>
        <item x="76"/>
        <item x="155"/>
        <item x="189"/>
        <item x="104"/>
        <item x="19"/>
        <item x="84"/>
        <item x="48"/>
        <item x="179"/>
        <item x="29"/>
        <item x="183"/>
        <item x="141"/>
        <item x="73"/>
        <item x="27"/>
        <item x="192"/>
        <item x="162"/>
        <item x="190"/>
        <item x="55"/>
        <item x="82"/>
        <item x="16"/>
        <item x="131"/>
        <item x="63"/>
        <item x="187"/>
        <item x="127"/>
        <item x="177"/>
        <item x="201"/>
        <item x="136"/>
        <item x="160"/>
        <item x="36"/>
        <item x="100"/>
        <item x="176"/>
        <item x="35"/>
        <item x="72"/>
        <item x="114"/>
        <item x="2"/>
        <item x="164"/>
        <item x="146"/>
        <item x="105"/>
        <item x="111"/>
        <item x="110"/>
        <item x="0"/>
        <item x="185"/>
        <item x="115"/>
        <item x="117"/>
        <item x="113"/>
        <item x="95"/>
        <item x="46"/>
        <item x="10"/>
        <item x="20"/>
        <item x="85"/>
        <item x="12"/>
        <item x="128"/>
        <item x="21"/>
        <item x="106"/>
        <item x="42"/>
        <item x="150"/>
        <item x="133"/>
        <item x="51"/>
        <item x="53"/>
        <item x="28"/>
        <item t="default"/>
      </items>
    </pivotField>
    <pivotField axis="axisRow" showAll="0">
      <items count="5">
        <item x="0"/>
        <item x="3"/>
        <item x="2"/>
        <item x="1"/>
        <item t="default"/>
      </items>
    </pivotField>
    <pivotField showAll="0"/>
    <pivotField showAll="0"/>
    <pivotField showAll="0"/>
  </pivotFields>
  <rowFields count="1">
    <field x="5"/>
  </rowFields>
  <rowItems count="5">
    <i>
      <x/>
    </i>
    <i>
      <x v="1"/>
    </i>
    <i>
      <x v="2"/>
    </i>
    <i>
      <x v="3"/>
    </i>
    <i t="grand">
      <x/>
    </i>
  </rowItems>
  <colItems count="1">
    <i/>
  </colItems>
  <dataFields count="1">
    <dataField name="Count of model" fld="0" subtotal="count" baseField="0" baseItem="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16" format="0" series="1">
      <pivotArea type="data" outline="0" fieldPosition="0">
        <references count="1">
          <reference field="4294967294" count="1" selected="0">
            <x v="0"/>
          </reference>
        </references>
      </pivotArea>
    </chartFormat>
    <chartFormat chart="32" format="6" series="1">
      <pivotArea type="data" outline="0" fieldPosition="0">
        <references count="1">
          <reference field="4294967294" count="1" selected="0">
            <x v="0"/>
          </reference>
        </references>
      </pivotArea>
    </chartFormat>
    <chartFormat chart="32" format="7">
      <pivotArea type="data" outline="0" fieldPosition="0">
        <references count="2">
          <reference field="4294967294" count="1" selected="0">
            <x v="0"/>
          </reference>
          <reference field="5" count="1" selected="0">
            <x v="0"/>
          </reference>
        </references>
      </pivotArea>
    </chartFormat>
    <chartFormat chart="32" format="8">
      <pivotArea type="data" outline="0" fieldPosition="0">
        <references count="2">
          <reference field="4294967294" count="1" selected="0">
            <x v="0"/>
          </reference>
          <reference field="5" count="1" selected="0">
            <x v="1"/>
          </reference>
        </references>
      </pivotArea>
    </chartFormat>
    <chartFormat chart="32" format="9">
      <pivotArea type="data" outline="0" fieldPosition="0">
        <references count="2">
          <reference field="4294967294" count="1" selected="0">
            <x v="0"/>
          </reference>
          <reference field="5" count="1" selected="0">
            <x v="2"/>
          </reference>
        </references>
      </pivotArea>
    </chartFormat>
    <chartFormat chart="32" format="10">
      <pivotArea type="data" outline="0" fieldPosition="0">
        <references count="2">
          <reference field="4294967294" count="1" selected="0">
            <x v="0"/>
          </reference>
          <reference field="5" count="1" selected="0">
            <x v="3"/>
          </reference>
        </references>
      </pivotArea>
    </chartFormat>
    <chartFormat chart="16" format="1">
      <pivotArea type="data" outline="0" fieldPosition="0">
        <references count="2">
          <reference field="4294967294" count="1" selected="0">
            <x v="0"/>
          </reference>
          <reference field="5" count="1" selected="0">
            <x v="0"/>
          </reference>
        </references>
      </pivotArea>
    </chartFormat>
    <chartFormat chart="16" format="2">
      <pivotArea type="data" outline="0" fieldPosition="0">
        <references count="2">
          <reference field="4294967294" count="1" selected="0">
            <x v="0"/>
          </reference>
          <reference field="5" count="1" selected="0">
            <x v="3"/>
          </reference>
        </references>
      </pivotArea>
    </chartFormat>
    <chartFormat chart="16" format="3">
      <pivotArea type="data" outline="0" fieldPosition="0">
        <references count="2">
          <reference field="4294967294" count="1" selected="0">
            <x v="0"/>
          </reference>
          <reference field="5" count="1" selected="0">
            <x v="1"/>
          </reference>
        </references>
      </pivotArea>
    </chartFormat>
    <chartFormat chart="16" format="4">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D652E7-99C2-4D2E-8436-BAE9E2DED5E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22" firstHeaderRow="1" firstDataRow="1" firstDataCol="1"/>
  <pivotFields count="9">
    <pivotField axis="axisRow" showAll="0">
      <items count="19">
        <item x="2"/>
        <item x="4"/>
        <item x="7"/>
        <item x="5"/>
        <item x="0"/>
        <item x="1"/>
        <item x="3"/>
        <item x="15"/>
        <item x="10"/>
        <item x="12"/>
        <item x="11"/>
        <item x="13"/>
        <item x="6"/>
        <item x="9"/>
        <item x="8"/>
        <item x="14"/>
        <item x="17"/>
        <item x="16"/>
        <item t="default"/>
      </items>
    </pivotField>
    <pivotField showAll="0">
      <items count="9">
        <item x="6"/>
        <item x="0"/>
        <item x="4"/>
        <item x="2"/>
        <item x="3"/>
        <item x="1"/>
        <item x="5"/>
        <item x="7"/>
        <item t="default"/>
      </items>
    </pivotField>
    <pivotField dataField="1" showAll="0">
      <items count="157">
        <item x="66"/>
        <item x="85"/>
        <item x="118"/>
        <item x="95"/>
        <item x="90"/>
        <item x="74"/>
        <item x="40"/>
        <item x="17"/>
        <item x="87"/>
        <item x="14"/>
        <item x="82"/>
        <item x="86"/>
        <item x="124"/>
        <item x="10"/>
        <item x="63"/>
        <item x="47"/>
        <item x="53"/>
        <item x="112"/>
        <item x="42"/>
        <item x="44"/>
        <item x="0"/>
        <item x="34"/>
        <item x="114"/>
        <item x="29"/>
        <item x="52"/>
        <item x="9"/>
        <item x="27"/>
        <item x="140"/>
        <item x="105"/>
        <item x="35"/>
        <item x="89"/>
        <item x="60"/>
        <item x="73"/>
        <item x="54"/>
        <item x="75"/>
        <item x="65"/>
        <item x="48"/>
        <item x="15"/>
        <item x="45"/>
        <item x="3"/>
        <item x="55"/>
        <item x="28"/>
        <item x="67"/>
        <item x="41"/>
        <item x="120"/>
        <item x="91"/>
        <item x="30"/>
        <item x="49"/>
        <item x="92"/>
        <item x="97"/>
        <item x="58"/>
        <item x="13"/>
        <item x="46"/>
        <item x="88"/>
        <item x="7"/>
        <item x="18"/>
        <item x="20"/>
        <item x="72"/>
        <item x="111"/>
        <item x="4"/>
        <item x="32"/>
        <item x="129"/>
        <item x="77"/>
        <item x="68"/>
        <item x="5"/>
        <item x="109"/>
        <item x="123"/>
        <item x="56"/>
        <item x="16"/>
        <item x="59"/>
        <item x="51"/>
        <item x="79"/>
        <item x="62"/>
        <item x="8"/>
        <item x="50"/>
        <item x="100"/>
        <item x="33"/>
        <item x="69"/>
        <item x="101"/>
        <item x="2"/>
        <item x="6"/>
        <item x="70"/>
        <item x="12"/>
        <item x="98"/>
        <item x="126"/>
        <item x="38"/>
        <item x="99"/>
        <item x="23"/>
        <item x="93"/>
        <item x="113"/>
        <item x="96"/>
        <item x="25"/>
        <item x="22"/>
        <item x="122"/>
        <item x="36"/>
        <item x="19"/>
        <item x="80"/>
        <item x="110"/>
        <item x="117"/>
        <item x="39"/>
        <item x="128"/>
        <item x="130"/>
        <item x="43"/>
        <item x="136"/>
        <item x="31"/>
        <item x="78"/>
        <item x="61"/>
        <item x="116"/>
        <item x="149"/>
        <item x="71"/>
        <item x="21"/>
        <item x="125"/>
        <item x="134"/>
        <item x="26"/>
        <item x="76"/>
        <item x="83"/>
        <item x="143"/>
        <item x="131"/>
        <item x="57"/>
        <item x="121"/>
        <item x="94"/>
        <item x="11"/>
        <item x="84"/>
        <item x="81"/>
        <item x="137"/>
        <item x="132"/>
        <item x="24"/>
        <item x="37"/>
        <item x="147"/>
        <item x="155"/>
        <item x="154"/>
        <item x="141"/>
        <item x="106"/>
        <item x="139"/>
        <item x="1"/>
        <item x="135"/>
        <item x="127"/>
        <item x="103"/>
        <item x="151"/>
        <item x="153"/>
        <item x="115"/>
        <item x="133"/>
        <item x="142"/>
        <item x="64"/>
        <item x="148"/>
        <item x="102"/>
        <item x="107"/>
        <item x="108"/>
        <item x="150"/>
        <item x="144"/>
        <item x="138"/>
        <item x="146"/>
        <item x="145"/>
        <item x="104"/>
        <item x="119"/>
        <item x="152"/>
        <item t="default"/>
      </items>
    </pivotField>
    <pivotField showAll="0"/>
    <pivotField showAll="0">
      <items count="246">
        <item x="209"/>
        <item x="167"/>
        <item x="165"/>
        <item x="166"/>
        <item x="170"/>
        <item x="228"/>
        <item x="243"/>
        <item x="186"/>
        <item x="206"/>
        <item x="169"/>
        <item x="208"/>
        <item x="195"/>
        <item x="193"/>
        <item x="238"/>
        <item x="242"/>
        <item x="130"/>
        <item x="188"/>
        <item x="240"/>
        <item x="223"/>
        <item x="207"/>
        <item x="214"/>
        <item x="39"/>
        <item x="221"/>
        <item x="215"/>
        <item x="244"/>
        <item x="213"/>
        <item x="171"/>
        <item x="178"/>
        <item x="217"/>
        <item x="152"/>
        <item x="147"/>
        <item x="224"/>
        <item x="122"/>
        <item x="7"/>
        <item x="153"/>
        <item x="184"/>
        <item x="239"/>
        <item x="40"/>
        <item x="222"/>
        <item x="59"/>
        <item x="168"/>
        <item x="230"/>
        <item x="163"/>
        <item x="210"/>
        <item x="232"/>
        <item x="78"/>
        <item x="241"/>
        <item x="43"/>
        <item x="94"/>
        <item x="229"/>
        <item x="1"/>
        <item x="161"/>
        <item x="196"/>
        <item x="220"/>
        <item x="58"/>
        <item x="154"/>
        <item x="219"/>
        <item x="15"/>
        <item x="70"/>
        <item x="92"/>
        <item x="125"/>
        <item x="225"/>
        <item x="68"/>
        <item x="50"/>
        <item x="145"/>
        <item x="211"/>
        <item x="77"/>
        <item x="14"/>
        <item x="80"/>
        <item x="204"/>
        <item x="172"/>
        <item x="89"/>
        <item x="237"/>
        <item x="231"/>
        <item x="120"/>
        <item x="119"/>
        <item x="205"/>
        <item x="56"/>
        <item x="181"/>
        <item x="202"/>
        <item x="197"/>
        <item x="112"/>
        <item x="41"/>
        <item x="60"/>
        <item x="149"/>
        <item x="126"/>
        <item x="233"/>
        <item x="26"/>
        <item x="24"/>
        <item x="173"/>
        <item x="67"/>
        <item x="18"/>
        <item x="34"/>
        <item x="25"/>
        <item x="124"/>
        <item x="198"/>
        <item x="33"/>
        <item x="66"/>
        <item x="200"/>
        <item x="203"/>
        <item x="108"/>
        <item x="158"/>
        <item x="140"/>
        <item x="157"/>
        <item x="44"/>
        <item x="32"/>
        <item x="212"/>
        <item x="226"/>
        <item x="144"/>
        <item x="139"/>
        <item x="199"/>
        <item x="142"/>
        <item x="98"/>
        <item x="64"/>
        <item x="65"/>
        <item x="3"/>
        <item x="148"/>
        <item x="52"/>
        <item x="61"/>
        <item x="103"/>
        <item x="22"/>
        <item x="37"/>
        <item x="159"/>
        <item x="74"/>
        <item x="11"/>
        <item x="102"/>
        <item x="235"/>
        <item x="71"/>
        <item x="57"/>
        <item x="88"/>
        <item x="75"/>
        <item x="129"/>
        <item x="96"/>
        <item x="13"/>
        <item x="151"/>
        <item x="134"/>
        <item x="143"/>
        <item x="216"/>
        <item x="54"/>
        <item x="86"/>
        <item x="182"/>
        <item x="38"/>
        <item x="79"/>
        <item x="93"/>
        <item x="101"/>
        <item x="116"/>
        <item x="107"/>
        <item x="31"/>
        <item x="90"/>
        <item x="132"/>
        <item x="5"/>
        <item x="69"/>
        <item x="62"/>
        <item x="9"/>
        <item x="234"/>
        <item x="227"/>
        <item x="83"/>
        <item x="138"/>
        <item x="97"/>
        <item x="194"/>
        <item x="156"/>
        <item x="118"/>
        <item x="6"/>
        <item x="99"/>
        <item x="87"/>
        <item x="4"/>
        <item x="236"/>
        <item x="123"/>
        <item x="49"/>
        <item x="180"/>
        <item x="109"/>
        <item x="175"/>
        <item x="8"/>
        <item x="121"/>
        <item x="174"/>
        <item x="218"/>
        <item x="137"/>
        <item x="135"/>
        <item x="30"/>
        <item x="45"/>
        <item x="23"/>
        <item x="91"/>
        <item x="191"/>
        <item x="17"/>
        <item x="47"/>
        <item x="81"/>
        <item x="76"/>
        <item x="155"/>
        <item x="189"/>
        <item x="104"/>
        <item x="19"/>
        <item x="84"/>
        <item x="48"/>
        <item x="179"/>
        <item x="29"/>
        <item x="183"/>
        <item x="141"/>
        <item x="73"/>
        <item x="27"/>
        <item x="192"/>
        <item x="162"/>
        <item x="190"/>
        <item x="55"/>
        <item x="82"/>
        <item x="16"/>
        <item x="131"/>
        <item x="63"/>
        <item x="187"/>
        <item x="127"/>
        <item x="177"/>
        <item x="201"/>
        <item x="136"/>
        <item x="160"/>
        <item x="36"/>
        <item x="100"/>
        <item x="176"/>
        <item x="35"/>
        <item x="72"/>
        <item x="114"/>
        <item x="2"/>
        <item x="164"/>
        <item x="146"/>
        <item x="105"/>
        <item x="111"/>
        <item x="110"/>
        <item x="0"/>
        <item x="185"/>
        <item x="115"/>
        <item x="117"/>
        <item x="113"/>
        <item x="95"/>
        <item x="46"/>
        <item x="10"/>
        <item x="20"/>
        <item x="85"/>
        <item x="12"/>
        <item x="128"/>
        <item x="21"/>
        <item x="106"/>
        <item x="42"/>
        <item x="150"/>
        <item x="133"/>
        <item x="51"/>
        <item x="53"/>
        <item x="28"/>
        <item t="default"/>
      </items>
    </pivotField>
    <pivotField showAll="0">
      <items count="5">
        <item x="0"/>
        <item h="1" x="3"/>
        <item h="1" x="2"/>
        <item h="1" x="1"/>
        <item t="default"/>
      </items>
    </pivotField>
    <pivotField showAll="0"/>
    <pivotField showAll="0"/>
    <pivotField showAll="0"/>
  </pivotFields>
  <rowFields count="1">
    <field x="0"/>
  </rowFields>
  <rowItems count="19">
    <i>
      <x/>
    </i>
    <i>
      <x v="1"/>
    </i>
    <i>
      <x v="2"/>
    </i>
    <i>
      <x v="3"/>
    </i>
    <i>
      <x v="4"/>
    </i>
    <i>
      <x v="5"/>
    </i>
    <i>
      <x v="6"/>
    </i>
    <i>
      <x v="7"/>
    </i>
    <i>
      <x v="8"/>
    </i>
    <i>
      <x v="9"/>
    </i>
    <i>
      <x v="10"/>
    </i>
    <i>
      <x v="11"/>
    </i>
    <i>
      <x v="12"/>
    </i>
    <i>
      <x v="13"/>
    </i>
    <i>
      <x v="14"/>
    </i>
    <i>
      <x v="15"/>
    </i>
    <i>
      <x v="16"/>
    </i>
    <i>
      <x v="17"/>
    </i>
    <i t="grand">
      <x/>
    </i>
  </rowItems>
  <colItems count="1">
    <i/>
  </colItems>
  <dataFields count="1">
    <dataField name="Average of price" fld="2" subtotal="average"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3D4436-AFF2-4107-80C2-D894E399FA1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1:O15" firstHeaderRow="1" firstDataRow="1" firstDataCol="1"/>
  <pivotFields count="9">
    <pivotField dataField="1" showAll="0">
      <items count="19">
        <item x="2"/>
        <item x="4"/>
        <item x="7"/>
        <item x="5"/>
        <item x="0"/>
        <item x="1"/>
        <item x="3"/>
        <item x="15"/>
        <item x="10"/>
        <item x="12"/>
        <item x="11"/>
        <item x="13"/>
        <item x="6"/>
        <item x="9"/>
        <item x="8"/>
        <item x="14"/>
        <item x="17"/>
        <item x="16"/>
        <item t="default"/>
      </items>
    </pivotField>
    <pivotField showAll="0"/>
    <pivotField showAll="0"/>
    <pivotField axis="axisRow" showAll="0">
      <items count="4">
        <item x="0"/>
        <item x="1"/>
        <item x="2"/>
        <item t="default"/>
      </items>
    </pivotField>
    <pivotField showAll="0"/>
    <pivotField showAll="0"/>
    <pivotField showAll="0"/>
    <pivotField showAll="0"/>
    <pivotField showAll="0"/>
  </pivotFields>
  <rowFields count="1">
    <field x="3"/>
  </rowFields>
  <rowItems count="4">
    <i>
      <x/>
    </i>
    <i>
      <x v="1"/>
    </i>
    <i>
      <x v="2"/>
    </i>
    <i t="grand">
      <x/>
    </i>
  </rowItems>
  <colItems count="1">
    <i/>
  </colItems>
  <dataFields count="1">
    <dataField name="Count of model"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F592E6-338C-46D4-BD65-BC269AEDBB9A}"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I4:J13" firstHeaderRow="1" firstDataRow="1" firstDataCol="1"/>
  <pivotFields count="9">
    <pivotField showAll="0"/>
    <pivotField axis="axisRow" multipleItemSelectionAllowed="1" showAll="0">
      <items count="9">
        <item x="6"/>
        <item x="0"/>
        <item x="4"/>
        <item x="2"/>
        <item x="3"/>
        <item x="1"/>
        <item x="5"/>
        <item x="7"/>
        <item t="default"/>
      </items>
    </pivotField>
    <pivotField showAll="0"/>
    <pivotField showAll="0">
      <items count="4">
        <item x="0"/>
        <item x="1"/>
        <item x="2"/>
        <item t="default"/>
      </items>
    </pivotField>
    <pivotField showAll="0"/>
    <pivotField showAll="0"/>
    <pivotField dataField="1" showAll="0"/>
    <pivotField showAll="0"/>
    <pivotField showAll="0"/>
  </pivotFields>
  <rowFields count="1">
    <field x="1"/>
  </rowFields>
  <rowItems count="9">
    <i>
      <x/>
    </i>
    <i>
      <x v="1"/>
    </i>
    <i>
      <x v="2"/>
    </i>
    <i>
      <x v="3"/>
    </i>
    <i>
      <x v="4"/>
    </i>
    <i>
      <x v="5"/>
    </i>
    <i>
      <x v="6"/>
    </i>
    <i>
      <x v="7"/>
    </i>
    <i t="grand">
      <x/>
    </i>
  </rowItems>
  <colItems count="1">
    <i/>
  </colItems>
  <dataFields count="1">
    <dataField name="Sum of tax" fld="6" baseField="0" baseItem="0"/>
  </dataFields>
  <chartFormats count="18">
    <chartFormat chart="0" format="11" series="1">
      <pivotArea type="data" outline="0" fieldPosition="0">
        <references count="1">
          <reference field="4294967294" count="1" selected="0">
            <x v="0"/>
          </reference>
        </references>
      </pivotArea>
    </chartFormat>
    <chartFormat chart="13" format="21" series="1">
      <pivotArea type="data" outline="0" fieldPosition="0">
        <references count="1">
          <reference field="4294967294" count="1" selected="0">
            <x v="0"/>
          </reference>
        </references>
      </pivotArea>
    </chartFormat>
    <chartFormat chart="13" format="22">
      <pivotArea type="data" outline="0" fieldPosition="0">
        <references count="2">
          <reference field="4294967294" count="1" selected="0">
            <x v="0"/>
          </reference>
          <reference field="1" count="1" selected="0">
            <x v="0"/>
          </reference>
        </references>
      </pivotArea>
    </chartFormat>
    <chartFormat chart="13" format="23">
      <pivotArea type="data" outline="0" fieldPosition="0">
        <references count="2">
          <reference field="4294967294" count="1" selected="0">
            <x v="0"/>
          </reference>
          <reference field="1" count="1" selected="0">
            <x v="1"/>
          </reference>
        </references>
      </pivotArea>
    </chartFormat>
    <chartFormat chart="13" format="24">
      <pivotArea type="data" outline="0" fieldPosition="0">
        <references count="2">
          <reference field="4294967294" count="1" selected="0">
            <x v="0"/>
          </reference>
          <reference field="1" count="1" selected="0">
            <x v="2"/>
          </reference>
        </references>
      </pivotArea>
    </chartFormat>
    <chartFormat chart="13" format="25">
      <pivotArea type="data" outline="0" fieldPosition="0">
        <references count="2">
          <reference field="4294967294" count="1" selected="0">
            <x v="0"/>
          </reference>
          <reference field="1" count="1" selected="0">
            <x v="3"/>
          </reference>
        </references>
      </pivotArea>
    </chartFormat>
    <chartFormat chart="13" format="26">
      <pivotArea type="data" outline="0" fieldPosition="0">
        <references count="2">
          <reference field="4294967294" count="1" selected="0">
            <x v="0"/>
          </reference>
          <reference field="1" count="1" selected="0">
            <x v="4"/>
          </reference>
        </references>
      </pivotArea>
    </chartFormat>
    <chartFormat chart="13" format="27">
      <pivotArea type="data" outline="0" fieldPosition="0">
        <references count="2">
          <reference field="4294967294" count="1" selected="0">
            <x v="0"/>
          </reference>
          <reference field="1" count="1" selected="0">
            <x v="5"/>
          </reference>
        </references>
      </pivotArea>
    </chartFormat>
    <chartFormat chart="13" format="28">
      <pivotArea type="data" outline="0" fieldPosition="0">
        <references count="2">
          <reference field="4294967294" count="1" selected="0">
            <x v="0"/>
          </reference>
          <reference field="1" count="1" selected="0">
            <x v="6"/>
          </reference>
        </references>
      </pivotArea>
    </chartFormat>
    <chartFormat chart="13" format="29">
      <pivotArea type="data" outline="0" fieldPosition="0">
        <references count="2">
          <reference field="4294967294" count="1" selected="0">
            <x v="0"/>
          </reference>
          <reference field="1" count="1" selected="0">
            <x v="7"/>
          </reference>
        </references>
      </pivotArea>
    </chartFormat>
    <chartFormat chart="0" format="12">
      <pivotArea type="data" outline="0" fieldPosition="0">
        <references count="2">
          <reference field="4294967294" count="1" selected="0">
            <x v="0"/>
          </reference>
          <reference field="1" count="1" selected="0">
            <x v="0"/>
          </reference>
        </references>
      </pivotArea>
    </chartFormat>
    <chartFormat chart="0" format="13">
      <pivotArea type="data" outline="0" fieldPosition="0">
        <references count="2">
          <reference field="4294967294" count="1" selected="0">
            <x v="0"/>
          </reference>
          <reference field="1" count="1" selected="0">
            <x v="1"/>
          </reference>
        </references>
      </pivotArea>
    </chartFormat>
    <chartFormat chart="0" format="14">
      <pivotArea type="data" outline="0" fieldPosition="0">
        <references count="2">
          <reference field="4294967294" count="1" selected="0">
            <x v="0"/>
          </reference>
          <reference field="1" count="1" selected="0">
            <x v="2"/>
          </reference>
        </references>
      </pivotArea>
    </chartFormat>
    <chartFormat chart="0" format="15">
      <pivotArea type="data" outline="0" fieldPosition="0">
        <references count="2">
          <reference field="4294967294" count="1" selected="0">
            <x v="0"/>
          </reference>
          <reference field="1" count="1" selected="0">
            <x v="3"/>
          </reference>
        </references>
      </pivotArea>
    </chartFormat>
    <chartFormat chart="0" format="16">
      <pivotArea type="data" outline="0" fieldPosition="0">
        <references count="2">
          <reference field="4294967294" count="1" selected="0">
            <x v="0"/>
          </reference>
          <reference field="1" count="1" selected="0">
            <x v="4"/>
          </reference>
        </references>
      </pivotArea>
    </chartFormat>
    <chartFormat chart="0" format="17">
      <pivotArea type="data" outline="0" fieldPosition="0">
        <references count="2">
          <reference field="4294967294" count="1" selected="0">
            <x v="0"/>
          </reference>
          <reference field="1" count="1" selected="0">
            <x v="5"/>
          </reference>
        </references>
      </pivotArea>
    </chartFormat>
    <chartFormat chart="0" format="18">
      <pivotArea type="data" outline="0" fieldPosition="0">
        <references count="2">
          <reference field="4294967294" count="1" selected="0">
            <x v="0"/>
          </reference>
          <reference field="1" count="1" selected="0">
            <x v="6"/>
          </reference>
        </references>
      </pivotArea>
    </chartFormat>
    <chartFormat chart="0" format="19">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21DE66-0608-4C5E-A52F-4469D743C1B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17:H26" firstHeaderRow="1" firstDataRow="1" firstDataCol="1"/>
  <pivotFields count="9">
    <pivotField showAll="0">
      <items count="19">
        <item x="2"/>
        <item x="4"/>
        <item x="7"/>
        <item x="5"/>
        <item x="0"/>
        <item x="1"/>
        <item x="3"/>
        <item x="15"/>
        <item x="10"/>
        <item x="12"/>
        <item x="11"/>
        <item x="13"/>
        <item x="6"/>
        <item x="9"/>
        <item x="8"/>
        <item x="14"/>
        <item x="17"/>
        <item x="16"/>
        <item t="default"/>
      </items>
    </pivotField>
    <pivotField axis="axisRow" showAll="0">
      <items count="9">
        <item x="6"/>
        <item x="0"/>
        <item x="4"/>
        <item x="2"/>
        <item x="3"/>
        <item x="1"/>
        <item x="5"/>
        <item x="7"/>
        <item t="default"/>
      </items>
    </pivotField>
    <pivotField showAll="0">
      <items count="157">
        <item x="66"/>
        <item x="85"/>
        <item x="118"/>
        <item x="95"/>
        <item x="90"/>
        <item x="74"/>
        <item x="40"/>
        <item x="17"/>
        <item x="87"/>
        <item x="14"/>
        <item x="82"/>
        <item x="86"/>
        <item x="124"/>
        <item x="10"/>
        <item x="63"/>
        <item x="47"/>
        <item x="53"/>
        <item x="112"/>
        <item x="42"/>
        <item x="44"/>
        <item x="0"/>
        <item x="34"/>
        <item x="114"/>
        <item x="29"/>
        <item x="52"/>
        <item x="9"/>
        <item x="27"/>
        <item x="140"/>
        <item x="105"/>
        <item x="35"/>
        <item x="89"/>
        <item x="60"/>
        <item x="73"/>
        <item x="54"/>
        <item x="75"/>
        <item x="65"/>
        <item x="48"/>
        <item x="15"/>
        <item x="45"/>
        <item x="3"/>
        <item x="55"/>
        <item x="28"/>
        <item x="67"/>
        <item x="41"/>
        <item x="120"/>
        <item x="91"/>
        <item x="30"/>
        <item x="49"/>
        <item x="92"/>
        <item x="97"/>
        <item x="58"/>
        <item x="13"/>
        <item x="46"/>
        <item x="88"/>
        <item x="7"/>
        <item x="18"/>
        <item x="20"/>
        <item x="72"/>
        <item x="111"/>
        <item x="4"/>
        <item x="32"/>
        <item x="129"/>
        <item x="77"/>
        <item x="68"/>
        <item x="5"/>
        <item x="109"/>
        <item x="123"/>
        <item x="56"/>
        <item x="16"/>
        <item x="59"/>
        <item x="51"/>
        <item x="79"/>
        <item x="62"/>
        <item x="8"/>
        <item x="50"/>
        <item x="100"/>
        <item x="33"/>
        <item x="69"/>
        <item x="101"/>
        <item x="2"/>
        <item x="6"/>
        <item x="70"/>
        <item x="12"/>
        <item x="98"/>
        <item x="126"/>
        <item x="38"/>
        <item x="99"/>
        <item x="23"/>
        <item x="93"/>
        <item x="113"/>
        <item x="96"/>
        <item x="25"/>
        <item x="22"/>
        <item x="122"/>
        <item x="36"/>
        <item x="19"/>
        <item x="80"/>
        <item x="110"/>
        <item x="117"/>
        <item x="39"/>
        <item x="128"/>
        <item x="130"/>
        <item x="43"/>
        <item x="136"/>
        <item x="31"/>
        <item x="78"/>
        <item x="61"/>
        <item x="116"/>
        <item x="149"/>
        <item x="71"/>
        <item x="21"/>
        <item x="125"/>
        <item x="134"/>
        <item x="26"/>
        <item x="76"/>
        <item x="83"/>
        <item x="143"/>
        <item x="131"/>
        <item x="57"/>
        <item x="121"/>
        <item x="94"/>
        <item x="11"/>
        <item x="84"/>
        <item x="81"/>
        <item x="137"/>
        <item x="132"/>
        <item x="24"/>
        <item x="37"/>
        <item x="147"/>
        <item x="155"/>
        <item x="154"/>
        <item x="141"/>
        <item x="106"/>
        <item x="139"/>
        <item x="1"/>
        <item x="135"/>
        <item x="127"/>
        <item x="103"/>
        <item x="151"/>
        <item x="153"/>
        <item x="115"/>
        <item x="133"/>
        <item x="142"/>
        <item x="64"/>
        <item x="148"/>
        <item x="102"/>
        <item x="107"/>
        <item x="108"/>
        <item x="150"/>
        <item x="144"/>
        <item x="138"/>
        <item x="146"/>
        <item x="145"/>
        <item x="104"/>
        <item x="119"/>
        <item x="152"/>
        <item t="default"/>
      </items>
    </pivotField>
    <pivotField showAll="0"/>
    <pivotField dataField="1" showAll="0">
      <items count="246">
        <item x="209"/>
        <item x="167"/>
        <item x="165"/>
        <item x="166"/>
        <item x="170"/>
        <item x="228"/>
        <item x="243"/>
        <item x="186"/>
        <item x="206"/>
        <item x="169"/>
        <item x="208"/>
        <item x="195"/>
        <item x="193"/>
        <item x="238"/>
        <item x="242"/>
        <item x="130"/>
        <item x="188"/>
        <item x="240"/>
        <item x="223"/>
        <item x="207"/>
        <item x="214"/>
        <item x="39"/>
        <item x="221"/>
        <item x="215"/>
        <item x="244"/>
        <item x="213"/>
        <item x="171"/>
        <item x="178"/>
        <item x="217"/>
        <item x="152"/>
        <item x="147"/>
        <item x="224"/>
        <item x="122"/>
        <item x="7"/>
        <item x="153"/>
        <item x="184"/>
        <item x="239"/>
        <item x="40"/>
        <item x="222"/>
        <item x="59"/>
        <item x="168"/>
        <item x="230"/>
        <item x="163"/>
        <item x="210"/>
        <item x="232"/>
        <item x="78"/>
        <item x="241"/>
        <item x="43"/>
        <item x="94"/>
        <item x="229"/>
        <item x="1"/>
        <item x="161"/>
        <item x="196"/>
        <item x="220"/>
        <item x="58"/>
        <item x="154"/>
        <item x="219"/>
        <item x="15"/>
        <item x="70"/>
        <item x="92"/>
        <item x="125"/>
        <item x="225"/>
        <item x="68"/>
        <item x="50"/>
        <item x="145"/>
        <item x="211"/>
        <item x="77"/>
        <item x="14"/>
        <item x="80"/>
        <item x="204"/>
        <item x="172"/>
        <item x="89"/>
        <item x="237"/>
        <item x="231"/>
        <item x="120"/>
        <item x="119"/>
        <item x="205"/>
        <item x="56"/>
        <item x="181"/>
        <item x="202"/>
        <item x="197"/>
        <item x="112"/>
        <item x="41"/>
        <item x="60"/>
        <item x="149"/>
        <item x="126"/>
        <item x="233"/>
        <item x="26"/>
        <item x="24"/>
        <item x="173"/>
        <item x="67"/>
        <item x="18"/>
        <item x="34"/>
        <item x="25"/>
        <item x="124"/>
        <item x="198"/>
        <item x="33"/>
        <item x="66"/>
        <item x="200"/>
        <item x="203"/>
        <item x="108"/>
        <item x="158"/>
        <item x="140"/>
        <item x="157"/>
        <item x="44"/>
        <item x="32"/>
        <item x="212"/>
        <item x="226"/>
        <item x="144"/>
        <item x="139"/>
        <item x="199"/>
        <item x="142"/>
        <item x="98"/>
        <item x="64"/>
        <item x="65"/>
        <item x="3"/>
        <item x="148"/>
        <item x="52"/>
        <item x="61"/>
        <item x="103"/>
        <item x="22"/>
        <item x="37"/>
        <item x="159"/>
        <item x="74"/>
        <item x="11"/>
        <item x="102"/>
        <item x="235"/>
        <item x="71"/>
        <item x="57"/>
        <item x="88"/>
        <item x="75"/>
        <item x="129"/>
        <item x="96"/>
        <item x="13"/>
        <item x="151"/>
        <item x="134"/>
        <item x="143"/>
        <item x="216"/>
        <item x="54"/>
        <item x="86"/>
        <item x="182"/>
        <item x="38"/>
        <item x="79"/>
        <item x="93"/>
        <item x="101"/>
        <item x="116"/>
        <item x="107"/>
        <item x="31"/>
        <item x="90"/>
        <item x="132"/>
        <item x="5"/>
        <item x="69"/>
        <item x="62"/>
        <item x="9"/>
        <item x="234"/>
        <item x="227"/>
        <item x="83"/>
        <item x="138"/>
        <item x="97"/>
        <item x="194"/>
        <item x="156"/>
        <item x="118"/>
        <item x="6"/>
        <item x="99"/>
        <item x="87"/>
        <item x="4"/>
        <item x="236"/>
        <item x="123"/>
        <item x="49"/>
        <item x="180"/>
        <item x="109"/>
        <item x="175"/>
        <item x="8"/>
        <item x="121"/>
        <item x="174"/>
        <item x="218"/>
        <item x="137"/>
        <item x="135"/>
        <item x="30"/>
        <item x="45"/>
        <item x="23"/>
        <item x="91"/>
        <item x="191"/>
        <item x="17"/>
        <item x="47"/>
        <item x="81"/>
        <item x="76"/>
        <item x="155"/>
        <item x="189"/>
        <item x="104"/>
        <item x="19"/>
        <item x="84"/>
        <item x="48"/>
        <item x="179"/>
        <item x="29"/>
        <item x="183"/>
        <item x="141"/>
        <item x="73"/>
        <item x="27"/>
        <item x="192"/>
        <item x="162"/>
        <item x="190"/>
        <item x="55"/>
        <item x="82"/>
        <item x="16"/>
        <item x="131"/>
        <item x="63"/>
        <item x="187"/>
        <item x="127"/>
        <item x="177"/>
        <item x="201"/>
        <item x="136"/>
        <item x="160"/>
        <item x="36"/>
        <item x="100"/>
        <item x="176"/>
        <item x="35"/>
        <item x="72"/>
        <item x="114"/>
        <item x="2"/>
        <item x="164"/>
        <item x="146"/>
        <item x="105"/>
        <item x="111"/>
        <item x="110"/>
        <item x="0"/>
        <item x="185"/>
        <item x="115"/>
        <item x="117"/>
        <item x="113"/>
        <item x="95"/>
        <item x="46"/>
        <item x="10"/>
        <item x="20"/>
        <item x="85"/>
        <item x="12"/>
        <item x="128"/>
        <item x="21"/>
        <item x="106"/>
        <item x="42"/>
        <item x="150"/>
        <item x="133"/>
        <item x="51"/>
        <item x="53"/>
        <item x="28"/>
        <item t="default"/>
      </items>
    </pivotField>
    <pivotField showAll="0">
      <items count="5">
        <item h="1" x="0"/>
        <item x="3"/>
        <item h="1" x="2"/>
        <item h="1" x="1"/>
        <item t="default"/>
      </items>
    </pivotField>
    <pivotField showAll="0"/>
    <pivotField showAll="0"/>
    <pivotField showAll="0"/>
  </pivotFields>
  <rowFields count="1">
    <field x="1"/>
  </rowFields>
  <rowItems count="9">
    <i>
      <x/>
    </i>
    <i>
      <x v="1"/>
    </i>
    <i>
      <x v="2"/>
    </i>
    <i>
      <x v="3"/>
    </i>
    <i>
      <x v="4"/>
    </i>
    <i>
      <x v="5"/>
    </i>
    <i>
      <x v="6"/>
    </i>
    <i>
      <x v="7"/>
    </i>
    <i t="grand">
      <x/>
    </i>
  </rowItems>
  <colItems count="1">
    <i/>
  </colItems>
  <dataFields count="1">
    <dataField name="Average of mileage" fld="4" subtotal="average" baseField="1"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E57D4E-CCCA-4462-8199-608922F2ACEC}"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E3:F23" firstHeaderRow="2" firstDataRow="2" firstDataCol="1"/>
  <pivotFields count="9">
    <pivotField axis="axisRow" compact="0" outline="0" showAll="0">
      <items count="19">
        <item x="2"/>
        <item x="4"/>
        <item x="7"/>
        <item x="5"/>
        <item x="0"/>
        <item x="1"/>
        <item x="3"/>
        <item x="15"/>
        <item x="10"/>
        <item x="12"/>
        <item x="11"/>
        <item x="13"/>
        <item x="6"/>
        <item x="9"/>
        <item x="8"/>
        <item x="14"/>
        <item x="17"/>
        <item x="16"/>
        <item t="default"/>
      </items>
    </pivotField>
    <pivotField compact="0" outline="0" showAll="0"/>
    <pivotField dataField="1" compact="0" outline="0" showAll="0">
      <items count="157">
        <item x="66"/>
        <item x="85"/>
        <item x="118"/>
        <item x="95"/>
        <item x="90"/>
        <item x="74"/>
        <item x="40"/>
        <item x="17"/>
        <item x="87"/>
        <item x="14"/>
        <item x="82"/>
        <item x="86"/>
        <item x="124"/>
        <item x="10"/>
        <item x="63"/>
        <item x="47"/>
        <item x="53"/>
        <item x="112"/>
        <item x="42"/>
        <item x="44"/>
        <item x="0"/>
        <item x="34"/>
        <item x="114"/>
        <item x="29"/>
        <item x="52"/>
        <item x="9"/>
        <item x="27"/>
        <item x="140"/>
        <item x="105"/>
        <item x="35"/>
        <item x="89"/>
        <item x="60"/>
        <item x="73"/>
        <item x="54"/>
        <item x="75"/>
        <item x="65"/>
        <item x="48"/>
        <item x="15"/>
        <item x="45"/>
        <item x="3"/>
        <item x="55"/>
        <item x="28"/>
        <item x="67"/>
        <item x="41"/>
        <item x="120"/>
        <item x="91"/>
        <item x="30"/>
        <item x="49"/>
        <item x="92"/>
        <item x="97"/>
        <item x="58"/>
        <item x="13"/>
        <item x="46"/>
        <item x="88"/>
        <item x="7"/>
        <item x="18"/>
        <item x="20"/>
        <item x="72"/>
        <item x="111"/>
        <item x="4"/>
        <item x="32"/>
        <item x="129"/>
        <item x="77"/>
        <item x="68"/>
        <item x="5"/>
        <item x="109"/>
        <item x="123"/>
        <item x="56"/>
        <item x="16"/>
        <item x="59"/>
        <item x="51"/>
        <item x="79"/>
        <item x="62"/>
        <item x="8"/>
        <item x="50"/>
        <item x="100"/>
        <item x="33"/>
        <item x="69"/>
        <item x="101"/>
        <item x="2"/>
        <item x="6"/>
        <item x="70"/>
        <item x="12"/>
        <item x="98"/>
        <item x="126"/>
        <item x="38"/>
        <item x="99"/>
        <item x="23"/>
        <item x="93"/>
        <item x="113"/>
        <item x="96"/>
        <item x="25"/>
        <item x="22"/>
        <item x="122"/>
        <item x="36"/>
        <item x="19"/>
        <item x="80"/>
        <item x="110"/>
        <item x="117"/>
        <item x="39"/>
        <item x="128"/>
        <item x="130"/>
        <item x="43"/>
        <item x="136"/>
        <item x="31"/>
        <item x="78"/>
        <item x="61"/>
        <item x="116"/>
        <item x="149"/>
        <item x="71"/>
        <item x="21"/>
        <item x="125"/>
        <item x="134"/>
        <item x="26"/>
        <item x="76"/>
        <item x="83"/>
        <item x="143"/>
        <item x="131"/>
        <item x="57"/>
        <item x="121"/>
        <item x="94"/>
        <item x="11"/>
        <item x="84"/>
        <item x="81"/>
        <item x="137"/>
        <item x="132"/>
        <item x="24"/>
        <item x="37"/>
        <item x="147"/>
        <item x="155"/>
        <item x="154"/>
        <item x="141"/>
        <item x="106"/>
        <item x="139"/>
        <item x="1"/>
        <item x="135"/>
        <item x="127"/>
        <item x="103"/>
        <item x="151"/>
        <item x="153"/>
        <item x="115"/>
        <item x="133"/>
        <item x="142"/>
        <item x="64"/>
        <item x="148"/>
        <item x="102"/>
        <item x="107"/>
        <item x="108"/>
        <item x="150"/>
        <item x="144"/>
        <item x="138"/>
        <item x="146"/>
        <item x="145"/>
        <item x="104"/>
        <item x="119"/>
        <item x="152"/>
        <item t="default"/>
      </items>
    </pivotField>
    <pivotField compact="0" outline="0" showAll="0"/>
    <pivotField compact="0" outline="0" showAll="0">
      <items count="246">
        <item x="209"/>
        <item x="167"/>
        <item x="165"/>
        <item x="166"/>
        <item x="170"/>
        <item x="228"/>
        <item x="243"/>
        <item x="186"/>
        <item x="206"/>
        <item x="169"/>
        <item x="208"/>
        <item x="195"/>
        <item x="193"/>
        <item x="238"/>
        <item x="242"/>
        <item x="130"/>
        <item x="188"/>
        <item x="240"/>
        <item x="223"/>
        <item x="207"/>
        <item x="214"/>
        <item x="39"/>
        <item x="221"/>
        <item x="215"/>
        <item x="244"/>
        <item x="213"/>
        <item x="171"/>
        <item x="178"/>
        <item x="217"/>
        <item x="152"/>
        <item x="147"/>
        <item x="224"/>
        <item x="122"/>
        <item x="7"/>
        <item x="153"/>
        <item x="184"/>
        <item x="239"/>
        <item x="40"/>
        <item x="222"/>
        <item x="59"/>
        <item x="168"/>
        <item x="230"/>
        <item x="163"/>
        <item x="210"/>
        <item x="232"/>
        <item x="78"/>
        <item x="241"/>
        <item x="43"/>
        <item x="94"/>
        <item x="229"/>
        <item x="1"/>
        <item x="161"/>
        <item x="196"/>
        <item x="220"/>
        <item x="58"/>
        <item x="154"/>
        <item x="219"/>
        <item x="15"/>
        <item x="70"/>
        <item x="92"/>
        <item x="125"/>
        <item x="225"/>
        <item x="68"/>
        <item x="50"/>
        <item x="145"/>
        <item x="211"/>
        <item x="77"/>
        <item x="14"/>
        <item x="80"/>
        <item x="204"/>
        <item x="172"/>
        <item x="89"/>
        <item x="237"/>
        <item x="231"/>
        <item x="120"/>
        <item x="119"/>
        <item x="205"/>
        <item x="56"/>
        <item x="181"/>
        <item x="202"/>
        <item x="197"/>
        <item x="112"/>
        <item x="41"/>
        <item x="60"/>
        <item x="149"/>
        <item x="126"/>
        <item x="233"/>
        <item x="26"/>
        <item x="24"/>
        <item x="173"/>
        <item x="67"/>
        <item x="18"/>
        <item x="34"/>
        <item x="25"/>
        <item x="124"/>
        <item x="198"/>
        <item x="33"/>
        <item x="66"/>
        <item x="200"/>
        <item x="203"/>
        <item x="108"/>
        <item x="158"/>
        <item x="140"/>
        <item x="157"/>
        <item x="44"/>
        <item x="32"/>
        <item x="212"/>
        <item x="226"/>
        <item x="144"/>
        <item x="139"/>
        <item x="199"/>
        <item x="142"/>
        <item x="98"/>
        <item x="64"/>
        <item x="65"/>
        <item x="3"/>
        <item x="148"/>
        <item x="52"/>
        <item x="61"/>
        <item x="103"/>
        <item x="22"/>
        <item x="37"/>
        <item x="159"/>
        <item x="74"/>
        <item x="11"/>
        <item x="102"/>
        <item x="235"/>
        <item x="71"/>
        <item x="57"/>
        <item x="88"/>
        <item x="75"/>
        <item x="129"/>
        <item x="96"/>
        <item x="13"/>
        <item x="151"/>
        <item x="134"/>
        <item x="143"/>
        <item x="216"/>
        <item x="54"/>
        <item x="86"/>
        <item x="182"/>
        <item x="38"/>
        <item x="79"/>
        <item x="93"/>
        <item x="101"/>
        <item x="116"/>
        <item x="107"/>
        <item x="31"/>
        <item x="90"/>
        <item x="132"/>
        <item x="5"/>
        <item x="69"/>
        <item x="62"/>
        <item x="9"/>
        <item x="234"/>
        <item x="227"/>
        <item x="83"/>
        <item x="138"/>
        <item x="97"/>
        <item x="194"/>
        <item x="156"/>
        <item x="118"/>
        <item x="6"/>
        <item x="99"/>
        <item x="87"/>
        <item x="4"/>
        <item x="236"/>
        <item x="123"/>
        <item x="49"/>
        <item x="180"/>
        <item x="109"/>
        <item x="175"/>
        <item x="8"/>
        <item x="121"/>
        <item x="174"/>
        <item x="218"/>
        <item x="137"/>
        <item x="135"/>
        <item x="30"/>
        <item x="45"/>
        <item x="23"/>
        <item x="91"/>
        <item x="191"/>
        <item x="17"/>
        <item x="47"/>
        <item x="81"/>
        <item x="76"/>
        <item x="155"/>
        <item x="189"/>
        <item x="104"/>
        <item x="19"/>
        <item x="84"/>
        <item x="48"/>
        <item x="179"/>
        <item x="29"/>
        <item x="183"/>
        <item x="141"/>
        <item x="73"/>
        <item x="27"/>
        <item x="192"/>
        <item x="162"/>
        <item x="190"/>
        <item x="55"/>
        <item x="82"/>
        <item x="16"/>
        <item x="131"/>
        <item x="63"/>
        <item x="187"/>
        <item x="127"/>
        <item x="177"/>
        <item x="201"/>
        <item x="136"/>
        <item x="160"/>
        <item x="36"/>
        <item x="100"/>
        <item x="176"/>
        <item x="35"/>
        <item x="72"/>
        <item x="114"/>
        <item x="2"/>
        <item x="164"/>
        <item x="146"/>
        <item x="105"/>
        <item x="111"/>
        <item x="110"/>
        <item x="0"/>
        <item x="185"/>
        <item x="115"/>
        <item x="117"/>
        <item x="113"/>
        <item x="95"/>
        <item x="46"/>
        <item x="10"/>
        <item x="20"/>
        <item x="85"/>
        <item x="12"/>
        <item x="128"/>
        <item x="21"/>
        <item x="106"/>
        <item x="42"/>
        <item x="150"/>
        <item x="133"/>
        <item x="51"/>
        <item x="53"/>
        <item x="28"/>
        <item t="default"/>
      </items>
    </pivotField>
    <pivotField compact="0" outline="0" showAll="0"/>
    <pivotField compact="0" outline="0" showAll="0"/>
    <pivotField compact="0" outline="0" showAll="0"/>
    <pivotField compact="0" outline="0" showAll="0"/>
  </pivotFields>
  <rowFields count="1">
    <field x="0"/>
  </rowFields>
  <rowItems count="19">
    <i>
      <x/>
    </i>
    <i>
      <x v="1"/>
    </i>
    <i>
      <x v="2"/>
    </i>
    <i>
      <x v="3"/>
    </i>
    <i>
      <x v="4"/>
    </i>
    <i>
      <x v="5"/>
    </i>
    <i>
      <x v="6"/>
    </i>
    <i>
      <x v="7"/>
    </i>
    <i>
      <x v="8"/>
    </i>
    <i>
      <x v="9"/>
    </i>
    <i>
      <x v="10"/>
    </i>
    <i>
      <x v="11"/>
    </i>
    <i>
      <x v="12"/>
    </i>
    <i>
      <x v="13"/>
    </i>
    <i>
      <x v="14"/>
    </i>
    <i>
      <x v="15"/>
    </i>
    <i>
      <x v="16"/>
    </i>
    <i>
      <x v="17"/>
    </i>
    <i t="grand">
      <x/>
    </i>
  </rowItems>
  <colItems count="1">
    <i/>
  </colItems>
  <dataFields count="1">
    <dataField name="Average of price" fld="2" subtotal="average" baseField="0" baseItem="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CFE7686-B6A2-45D8-BC28-C35033AC6D1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9">
    <pivotField showAll="0">
      <items count="19">
        <item x="2"/>
        <item x="4"/>
        <item x="7"/>
        <item x="5"/>
        <item x="0"/>
        <item x="1"/>
        <item x="3"/>
        <item x="15"/>
        <item x="10"/>
        <item x="12"/>
        <item x="11"/>
        <item x="13"/>
        <item x="6"/>
        <item x="9"/>
        <item x="8"/>
        <item x="14"/>
        <item x="17"/>
        <item x="16"/>
        <item t="default"/>
      </items>
    </pivotField>
    <pivotField showAll="0"/>
    <pivotField dataField="1" showAll="0">
      <items count="157">
        <item x="66"/>
        <item x="85"/>
        <item x="118"/>
        <item x="95"/>
        <item x="90"/>
        <item x="74"/>
        <item x="40"/>
        <item x="17"/>
        <item x="87"/>
        <item x="14"/>
        <item x="82"/>
        <item x="86"/>
        <item x="124"/>
        <item x="10"/>
        <item x="63"/>
        <item x="47"/>
        <item x="53"/>
        <item x="112"/>
        <item x="42"/>
        <item x="44"/>
        <item x="0"/>
        <item x="34"/>
        <item x="114"/>
        <item x="29"/>
        <item x="52"/>
        <item x="9"/>
        <item x="27"/>
        <item x="140"/>
        <item x="105"/>
        <item x="35"/>
        <item x="89"/>
        <item x="60"/>
        <item x="73"/>
        <item x="54"/>
        <item x="75"/>
        <item x="65"/>
        <item x="48"/>
        <item x="15"/>
        <item x="45"/>
        <item x="3"/>
        <item x="55"/>
        <item x="28"/>
        <item x="67"/>
        <item x="41"/>
        <item x="120"/>
        <item x="91"/>
        <item x="30"/>
        <item x="49"/>
        <item x="92"/>
        <item x="97"/>
        <item x="58"/>
        <item x="13"/>
        <item x="46"/>
        <item x="88"/>
        <item x="7"/>
        <item x="18"/>
        <item x="20"/>
        <item x="72"/>
        <item x="111"/>
        <item x="4"/>
        <item x="32"/>
        <item x="129"/>
        <item x="77"/>
        <item x="68"/>
        <item x="5"/>
        <item x="109"/>
        <item x="123"/>
        <item x="56"/>
        <item x="16"/>
        <item x="59"/>
        <item x="51"/>
        <item x="79"/>
        <item x="62"/>
        <item x="8"/>
        <item x="50"/>
        <item x="100"/>
        <item x="33"/>
        <item x="69"/>
        <item x="101"/>
        <item x="2"/>
        <item x="6"/>
        <item x="70"/>
        <item x="12"/>
        <item x="98"/>
        <item x="126"/>
        <item x="38"/>
        <item x="99"/>
        <item x="23"/>
        <item x="93"/>
        <item x="113"/>
        <item x="96"/>
        <item x="25"/>
        <item x="22"/>
        <item x="122"/>
        <item x="36"/>
        <item x="19"/>
        <item x="80"/>
        <item x="110"/>
        <item x="117"/>
        <item x="39"/>
        <item x="128"/>
        <item x="130"/>
        <item x="43"/>
        <item x="136"/>
        <item x="31"/>
        <item x="78"/>
        <item x="61"/>
        <item x="116"/>
        <item x="149"/>
        <item x="71"/>
        <item x="21"/>
        <item x="125"/>
        <item x="134"/>
        <item x="26"/>
        <item x="76"/>
        <item x="83"/>
        <item x="143"/>
        <item x="131"/>
        <item x="57"/>
        <item x="121"/>
        <item x="94"/>
        <item x="11"/>
        <item x="84"/>
        <item x="81"/>
        <item x="137"/>
        <item x="132"/>
        <item x="24"/>
        <item x="37"/>
        <item x="147"/>
        <item x="155"/>
        <item x="154"/>
        <item x="141"/>
        <item x="106"/>
        <item x="139"/>
        <item x="1"/>
        <item x="135"/>
        <item x="127"/>
        <item x="103"/>
        <item x="151"/>
        <item x="153"/>
        <item x="115"/>
        <item x="133"/>
        <item x="142"/>
        <item x="64"/>
        <item x="148"/>
        <item x="102"/>
        <item x="107"/>
        <item x="108"/>
        <item x="150"/>
        <item x="144"/>
        <item x="138"/>
        <item x="146"/>
        <item x="145"/>
        <item x="104"/>
        <item x="119"/>
        <item x="152"/>
        <item t="default"/>
      </items>
    </pivotField>
    <pivotField showAll="0"/>
    <pivotField showAll="0">
      <items count="246">
        <item x="209"/>
        <item x="167"/>
        <item x="165"/>
        <item x="166"/>
        <item x="170"/>
        <item x="228"/>
        <item x="243"/>
        <item x="186"/>
        <item x="206"/>
        <item x="169"/>
        <item x="208"/>
        <item x="195"/>
        <item x="193"/>
        <item x="238"/>
        <item x="242"/>
        <item x="130"/>
        <item x="188"/>
        <item x="240"/>
        <item x="223"/>
        <item x="207"/>
        <item x="214"/>
        <item x="39"/>
        <item x="221"/>
        <item x="215"/>
        <item x="244"/>
        <item x="213"/>
        <item x="171"/>
        <item x="178"/>
        <item x="217"/>
        <item x="152"/>
        <item x="147"/>
        <item x="224"/>
        <item x="122"/>
        <item x="7"/>
        <item x="153"/>
        <item x="184"/>
        <item x="239"/>
        <item x="40"/>
        <item x="222"/>
        <item x="59"/>
        <item x="168"/>
        <item x="230"/>
        <item x="163"/>
        <item x="210"/>
        <item x="232"/>
        <item x="78"/>
        <item x="241"/>
        <item x="43"/>
        <item x="94"/>
        <item x="229"/>
        <item x="1"/>
        <item x="161"/>
        <item x="196"/>
        <item x="220"/>
        <item x="58"/>
        <item x="154"/>
        <item x="219"/>
        <item x="15"/>
        <item x="70"/>
        <item x="92"/>
        <item x="125"/>
        <item x="225"/>
        <item x="68"/>
        <item x="50"/>
        <item x="145"/>
        <item x="211"/>
        <item x="77"/>
        <item x="14"/>
        <item x="80"/>
        <item x="204"/>
        <item x="172"/>
        <item x="89"/>
        <item x="237"/>
        <item x="231"/>
        <item x="120"/>
        <item x="119"/>
        <item x="205"/>
        <item x="56"/>
        <item x="181"/>
        <item x="202"/>
        <item x="197"/>
        <item x="112"/>
        <item x="41"/>
        <item x="60"/>
        <item x="149"/>
        <item x="126"/>
        <item x="233"/>
        <item x="26"/>
        <item x="24"/>
        <item x="173"/>
        <item x="67"/>
        <item x="18"/>
        <item x="34"/>
        <item x="25"/>
        <item x="124"/>
        <item x="198"/>
        <item x="33"/>
        <item x="66"/>
        <item x="200"/>
        <item x="203"/>
        <item x="108"/>
        <item x="158"/>
        <item x="140"/>
        <item x="157"/>
        <item x="44"/>
        <item x="32"/>
        <item x="212"/>
        <item x="226"/>
        <item x="144"/>
        <item x="139"/>
        <item x="199"/>
        <item x="142"/>
        <item x="98"/>
        <item x="64"/>
        <item x="65"/>
        <item x="3"/>
        <item x="148"/>
        <item x="52"/>
        <item x="61"/>
        <item x="103"/>
        <item x="22"/>
        <item x="37"/>
        <item x="159"/>
        <item x="74"/>
        <item x="11"/>
        <item x="102"/>
        <item x="235"/>
        <item x="71"/>
        <item x="57"/>
        <item x="88"/>
        <item x="75"/>
        <item x="129"/>
        <item x="96"/>
        <item x="13"/>
        <item x="151"/>
        <item x="134"/>
        <item x="143"/>
        <item x="216"/>
        <item x="54"/>
        <item x="86"/>
        <item x="182"/>
        <item x="38"/>
        <item x="79"/>
        <item x="93"/>
        <item x="101"/>
        <item x="116"/>
        <item x="107"/>
        <item x="31"/>
        <item x="90"/>
        <item x="132"/>
        <item x="5"/>
        <item x="69"/>
        <item x="62"/>
        <item x="9"/>
        <item x="234"/>
        <item x="227"/>
        <item x="83"/>
        <item x="138"/>
        <item x="97"/>
        <item x="194"/>
        <item x="156"/>
        <item x="118"/>
        <item x="6"/>
        <item x="99"/>
        <item x="87"/>
        <item x="4"/>
        <item x="236"/>
        <item x="123"/>
        <item x="49"/>
        <item x="180"/>
        <item x="109"/>
        <item x="175"/>
        <item x="8"/>
        <item x="121"/>
        <item x="174"/>
        <item x="218"/>
        <item x="137"/>
        <item x="135"/>
        <item x="30"/>
        <item x="45"/>
        <item x="23"/>
        <item x="91"/>
        <item x="191"/>
        <item x="17"/>
        <item x="47"/>
        <item x="81"/>
        <item x="76"/>
        <item x="155"/>
        <item x="189"/>
        <item x="104"/>
        <item x="19"/>
        <item x="84"/>
        <item x="48"/>
        <item x="179"/>
        <item x="29"/>
        <item x="183"/>
        <item x="141"/>
        <item x="73"/>
        <item x="27"/>
        <item x="192"/>
        <item x="162"/>
        <item x="190"/>
        <item x="55"/>
        <item x="82"/>
        <item x="16"/>
        <item x="131"/>
        <item x="63"/>
        <item x="187"/>
        <item x="127"/>
        <item x="177"/>
        <item x="201"/>
        <item x="136"/>
        <item x="160"/>
        <item x="36"/>
        <item x="100"/>
        <item x="176"/>
        <item x="35"/>
        <item x="72"/>
        <item x="114"/>
        <item x="2"/>
        <item x="164"/>
        <item x="146"/>
        <item x="105"/>
        <item x="111"/>
        <item x="110"/>
        <item x="0"/>
        <item x="185"/>
        <item x="115"/>
        <item x="117"/>
        <item x="113"/>
        <item x="95"/>
        <item x="46"/>
        <item x="10"/>
        <item x="20"/>
        <item x="85"/>
        <item x="12"/>
        <item x="128"/>
        <item x="21"/>
        <item x="106"/>
        <item x="42"/>
        <item x="150"/>
        <item x="133"/>
        <item x="51"/>
        <item x="53"/>
        <item x="28"/>
        <item t="default"/>
      </items>
    </pivotField>
    <pivotField showAll="0"/>
    <pivotField showAll="0"/>
    <pivotField showAll="0"/>
    <pivotField showAll="0"/>
  </pivotFields>
  <rowItems count="1">
    <i/>
  </rowItems>
  <colItems count="1">
    <i/>
  </colItems>
  <dataFields count="1">
    <dataField name="Sum of price" fld="2"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3E20C77-CAAA-40B4-BE3A-D745B0D0AD20}"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N4:P24" firstHeaderRow="1" firstDataRow="2" firstDataCol="1"/>
  <pivotFields count="9">
    <pivotField axis="axisRow" dataField="1" compact="0" outline="0" showAll="0">
      <items count="19">
        <item x="2"/>
        <item x="4"/>
        <item x="7"/>
        <item x="5"/>
        <item x="0"/>
        <item x="1"/>
        <item x="3"/>
        <item x="15"/>
        <item x="10"/>
        <item x="12"/>
        <item x="11"/>
        <item x="13"/>
        <item x="6"/>
        <item x="9"/>
        <item x="8"/>
        <item x="14"/>
        <item x="17"/>
        <item x="16"/>
        <item t="default"/>
      </items>
    </pivotField>
    <pivotField compact="0" outline="0" showAll="0"/>
    <pivotField compact="0" outline="0" showAll="0">
      <items count="157">
        <item x="66"/>
        <item x="85"/>
        <item x="118"/>
        <item x="95"/>
        <item x="90"/>
        <item x="74"/>
        <item x="40"/>
        <item x="17"/>
        <item x="87"/>
        <item x="14"/>
        <item x="82"/>
        <item x="86"/>
        <item x="124"/>
        <item x="10"/>
        <item x="63"/>
        <item x="47"/>
        <item x="53"/>
        <item x="112"/>
        <item x="42"/>
        <item x="44"/>
        <item x="0"/>
        <item x="34"/>
        <item x="114"/>
        <item x="29"/>
        <item x="52"/>
        <item x="9"/>
        <item x="27"/>
        <item x="140"/>
        <item x="105"/>
        <item x="35"/>
        <item x="89"/>
        <item x="60"/>
        <item x="73"/>
        <item x="54"/>
        <item x="75"/>
        <item x="65"/>
        <item x="48"/>
        <item x="15"/>
        <item x="45"/>
        <item x="3"/>
        <item x="55"/>
        <item x="28"/>
        <item x="67"/>
        <item x="41"/>
        <item x="120"/>
        <item x="91"/>
        <item x="30"/>
        <item x="49"/>
        <item x="92"/>
        <item x="97"/>
        <item x="58"/>
        <item x="13"/>
        <item x="46"/>
        <item x="88"/>
        <item x="7"/>
        <item x="18"/>
        <item x="20"/>
        <item x="72"/>
        <item x="111"/>
        <item x="4"/>
        <item x="32"/>
        <item x="129"/>
        <item x="77"/>
        <item x="68"/>
        <item x="5"/>
        <item x="109"/>
        <item x="123"/>
        <item x="56"/>
        <item x="16"/>
        <item x="59"/>
        <item x="51"/>
        <item x="79"/>
        <item x="62"/>
        <item x="8"/>
        <item x="50"/>
        <item x="100"/>
        <item x="33"/>
        <item x="69"/>
        <item x="101"/>
        <item x="2"/>
        <item x="6"/>
        <item x="70"/>
        <item x="12"/>
        <item x="98"/>
        <item x="126"/>
        <item x="38"/>
        <item x="99"/>
        <item x="23"/>
        <item x="93"/>
        <item x="113"/>
        <item x="96"/>
        <item x="25"/>
        <item x="22"/>
        <item x="122"/>
        <item x="36"/>
        <item x="19"/>
        <item x="80"/>
        <item x="110"/>
        <item x="117"/>
        <item x="39"/>
        <item x="128"/>
        <item x="130"/>
        <item x="43"/>
        <item x="136"/>
        <item x="31"/>
        <item x="78"/>
        <item x="61"/>
        <item x="116"/>
        <item x="149"/>
        <item x="71"/>
        <item x="21"/>
        <item x="125"/>
        <item x="134"/>
        <item x="26"/>
        <item x="76"/>
        <item x="83"/>
        <item x="143"/>
        <item x="131"/>
        <item x="57"/>
        <item x="121"/>
        <item x="94"/>
        <item x="11"/>
        <item x="84"/>
        <item x="81"/>
        <item x="137"/>
        <item x="132"/>
        <item x="24"/>
        <item x="37"/>
        <item x="147"/>
        <item x="155"/>
        <item x="154"/>
        <item x="141"/>
        <item x="106"/>
        <item x="139"/>
        <item x="1"/>
        <item x="135"/>
        <item x="127"/>
        <item x="103"/>
        <item x="151"/>
        <item x="153"/>
        <item x="115"/>
        <item x="133"/>
        <item x="142"/>
        <item x="64"/>
        <item x="148"/>
        <item x="102"/>
        <item x="107"/>
        <item x="108"/>
        <item x="150"/>
        <item x="144"/>
        <item x="138"/>
        <item x="146"/>
        <item x="145"/>
        <item x="104"/>
        <item x="119"/>
        <item x="152"/>
        <item t="default"/>
      </items>
    </pivotField>
    <pivotField compact="0" outline="0" showAll="0"/>
    <pivotField compact="0" outline="0" showAll="0">
      <items count="246">
        <item x="209"/>
        <item x="167"/>
        <item x="165"/>
        <item x="166"/>
        <item x="170"/>
        <item x="228"/>
        <item x="243"/>
        <item x="186"/>
        <item x="206"/>
        <item x="169"/>
        <item x="208"/>
        <item x="195"/>
        <item x="193"/>
        <item x="238"/>
        <item x="242"/>
        <item x="130"/>
        <item x="188"/>
        <item x="240"/>
        <item x="223"/>
        <item x="207"/>
        <item x="214"/>
        <item x="39"/>
        <item x="221"/>
        <item x="215"/>
        <item x="244"/>
        <item x="213"/>
        <item x="171"/>
        <item x="178"/>
        <item x="217"/>
        <item x="152"/>
        <item x="147"/>
        <item x="224"/>
        <item x="122"/>
        <item x="7"/>
        <item x="153"/>
        <item x="184"/>
        <item x="239"/>
        <item x="40"/>
        <item x="222"/>
        <item x="59"/>
        <item x="168"/>
        <item x="230"/>
        <item x="163"/>
        <item x="210"/>
        <item x="232"/>
        <item x="78"/>
        <item x="241"/>
        <item x="43"/>
        <item x="94"/>
        <item x="229"/>
        <item x="1"/>
        <item x="161"/>
        <item x="196"/>
        <item x="220"/>
        <item x="58"/>
        <item x="154"/>
        <item x="219"/>
        <item x="15"/>
        <item x="70"/>
        <item x="92"/>
        <item x="125"/>
        <item x="225"/>
        <item x="68"/>
        <item x="50"/>
        <item x="145"/>
        <item x="211"/>
        <item x="77"/>
        <item x="14"/>
        <item x="80"/>
        <item x="204"/>
        <item x="172"/>
        <item x="89"/>
        <item x="237"/>
        <item x="231"/>
        <item x="120"/>
        <item x="119"/>
        <item x="205"/>
        <item x="56"/>
        <item x="181"/>
        <item x="202"/>
        <item x="197"/>
        <item x="112"/>
        <item x="41"/>
        <item x="60"/>
        <item x="149"/>
        <item x="126"/>
        <item x="233"/>
        <item x="26"/>
        <item x="24"/>
        <item x="173"/>
        <item x="67"/>
        <item x="18"/>
        <item x="34"/>
        <item x="25"/>
        <item x="124"/>
        <item x="198"/>
        <item x="33"/>
        <item x="66"/>
        <item x="200"/>
        <item x="203"/>
        <item x="108"/>
        <item x="158"/>
        <item x="140"/>
        <item x="157"/>
        <item x="44"/>
        <item x="32"/>
        <item x="212"/>
        <item x="226"/>
        <item x="144"/>
        <item x="139"/>
        <item x="199"/>
        <item x="142"/>
        <item x="98"/>
        <item x="64"/>
        <item x="65"/>
        <item x="3"/>
        <item x="148"/>
        <item x="52"/>
        <item x="61"/>
        <item x="103"/>
        <item x="22"/>
        <item x="37"/>
        <item x="159"/>
        <item x="74"/>
        <item x="11"/>
        <item x="102"/>
        <item x="235"/>
        <item x="71"/>
        <item x="57"/>
        <item x="88"/>
        <item x="75"/>
        <item x="129"/>
        <item x="96"/>
        <item x="13"/>
        <item x="151"/>
        <item x="134"/>
        <item x="143"/>
        <item x="216"/>
        <item x="54"/>
        <item x="86"/>
        <item x="182"/>
        <item x="38"/>
        <item x="79"/>
        <item x="93"/>
        <item x="101"/>
        <item x="116"/>
        <item x="107"/>
        <item x="31"/>
        <item x="90"/>
        <item x="132"/>
        <item x="5"/>
        <item x="69"/>
        <item x="62"/>
        <item x="9"/>
        <item x="234"/>
        <item x="227"/>
        <item x="83"/>
        <item x="138"/>
        <item x="97"/>
        <item x="194"/>
        <item x="156"/>
        <item x="118"/>
        <item x="6"/>
        <item x="99"/>
        <item x="87"/>
        <item x="4"/>
        <item x="236"/>
        <item x="123"/>
        <item x="49"/>
        <item x="180"/>
        <item x="109"/>
        <item x="175"/>
        <item x="8"/>
        <item x="121"/>
        <item x="174"/>
        <item x="218"/>
        <item x="137"/>
        <item x="135"/>
        <item x="30"/>
        <item x="45"/>
        <item x="23"/>
        <item x="91"/>
        <item x="191"/>
        <item x="17"/>
        <item x="47"/>
        <item x="81"/>
        <item x="76"/>
        <item x="155"/>
        <item x="189"/>
        <item x="104"/>
        <item x="19"/>
        <item x="84"/>
        <item x="48"/>
        <item x="179"/>
        <item x="29"/>
        <item x="183"/>
        <item x="141"/>
        <item x="73"/>
        <item x="27"/>
        <item x="192"/>
        <item x="162"/>
        <item x="190"/>
        <item x="55"/>
        <item x="82"/>
        <item x="16"/>
        <item x="131"/>
        <item x="63"/>
        <item x="187"/>
        <item x="127"/>
        <item x="177"/>
        <item x="201"/>
        <item x="136"/>
        <item x="160"/>
        <item x="36"/>
        <item x="100"/>
        <item x="176"/>
        <item x="35"/>
        <item x="72"/>
        <item x="114"/>
        <item x="2"/>
        <item x="164"/>
        <item x="146"/>
        <item x="105"/>
        <item x="111"/>
        <item x="110"/>
        <item x="0"/>
        <item x="185"/>
        <item x="115"/>
        <item x="117"/>
        <item x="113"/>
        <item x="95"/>
        <item x="46"/>
        <item x="10"/>
        <item x="20"/>
        <item x="85"/>
        <item x="12"/>
        <item x="128"/>
        <item x="21"/>
        <item x="106"/>
        <item x="42"/>
        <item x="150"/>
        <item x="133"/>
        <item x="51"/>
        <item x="53"/>
        <item x="28"/>
        <item t="default"/>
      </items>
    </pivotField>
    <pivotField compact="0" outline="0" showAll="0"/>
    <pivotField compact="0" outline="0" showAll="0"/>
    <pivotField dataField="1" compact="0" outline="0" showAll="0"/>
    <pivotField compact="0" outline="0" showAll="0"/>
  </pivotFields>
  <rowFields count="1">
    <field x="0"/>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dataFields count="2">
    <dataField name="Count of model" fld="0" subtotal="count" baseField="0" baseItem="0"/>
    <dataField name="Sum of mpg"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F978653-FDAB-4E50-873A-49C79742947F}"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L12:M22" firstHeaderRow="2" firstDataRow="2" firstDataCol="1"/>
  <pivotFields count="9">
    <pivotField compact="0" outline="0" showAll="0">
      <items count="19">
        <item x="2"/>
        <item x="4"/>
        <item x="7"/>
        <item x="5"/>
        <item x="0"/>
        <item x="1"/>
        <item x="3"/>
        <item x="15"/>
        <item x="10"/>
        <item x="12"/>
        <item x="11"/>
        <item x="13"/>
        <item x="6"/>
        <item x="9"/>
        <item x="8"/>
        <item x="14"/>
        <item x="17"/>
        <item x="16"/>
        <item t="default"/>
      </items>
    </pivotField>
    <pivotField axis="axisRow" compact="0" outline="0" showAll="0">
      <items count="9">
        <item x="6"/>
        <item x="0"/>
        <item x="4"/>
        <item x="2"/>
        <item x="3"/>
        <item x="1"/>
        <item x="5"/>
        <item x="7"/>
        <item t="default"/>
      </items>
    </pivotField>
    <pivotField compact="0" outline="0" showAll="0">
      <items count="157">
        <item x="66"/>
        <item x="85"/>
        <item x="118"/>
        <item x="95"/>
        <item x="90"/>
        <item x="74"/>
        <item x="40"/>
        <item x="17"/>
        <item x="87"/>
        <item x="14"/>
        <item x="82"/>
        <item x="86"/>
        <item x="124"/>
        <item x="10"/>
        <item x="63"/>
        <item x="47"/>
        <item x="53"/>
        <item x="112"/>
        <item x="42"/>
        <item x="44"/>
        <item x="0"/>
        <item x="34"/>
        <item x="114"/>
        <item x="29"/>
        <item x="52"/>
        <item x="9"/>
        <item x="27"/>
        <item x="140"/>
        <item x="105"/>
        <item x="35"/>
        <item x="89"/>
        <item x="60"/>
        <item x="73"/>
        <item x="54"/>
        <item x="75"/>
        <item x="65"/>
        <item x="48"/>
        <item x="15"/>
        <item x="45"/>
        <item x="3"/>
        <item x="55"/>
        <item x="28"/>
        <item x="67"/>
        <item x="41"/>
        <item x="120"/>
        <item x="91"/>
        <item x="30"/>
        <item x="49"/>
        <item x="92"/>
        <item x="97"/>
        <item x="58"/>
        <item x="13"/>
        <item x="46"/>
        <item x="88"/>
        <item x="7"/>
        <item x="18"/>
        <item x="20"/>
        <item x="72"/>
        <item x="111"/>
        <item x="4"/>
        <item x="32"/>
        <item x="129"/>
        <item x="77"/>
        <item x="68"/>
        <item x="5"/>
        <item x="109"/>
        <item x="123"/>
        <item x="56"/>
        <item x="16"/>
        <item x="59"/>
        <item x="51"/>
        <item x="79"/>
        <item x="62"/>
        <item x="8"/>
        <item x="50"/>
        <item x="100"/>
        <item x="33"/>
        <item x="69"/>
        <item x="101"/>
        <item x="2"/>
        <item x="6"/>
        <item x="70"/>
        <item x="12"/>
        <item x="98"/>
        <item x="126"/>
        <item x="38"/>
        <item x="99"/>
        <item x="23"/>
        <item x="93"/>
        <item x="113"/>
        <item x="96"/>
        <item x="25"/>
        <item x="22"/>
        <item x="122"/>
        <item x="36"/>
        <item x="19"/>
        <item x="80"/>
        <item x="110"/>
        <item x="117"/>
        <item x="39"/>
        <item x="128"/>
        <item x="130"/>
        <item x="43"/>
        <item x="136"/>
        <item x="31"/>
        <item x="78"/>
        <item x="61"/>
        <item x="116"/>
        <item x="149"/>
        <item x="71"/>
        <item x="21"/>
        <item x="125"/>
        <item x="134"/>
        <item x="26"/>
        <item x="76"/>
        <item x="83"/>
        <item x="143"/>
        <item x="131"/>
        <item x="57"/>
        <item x="121"/>
        <item x="94"/>
        <item x="11"/>
        <item x="84"/>
        <item x="81"/>
        <item x="137"/>
        <item x="132"/>
        <item x="24"/>
        <item x="37"/>
        <item x="147"/>
        <item x="155"/>
        <item x="154"/>
        <item x="141"/>
        <item x="106"/>
        <item x="139"/>
        <item x="1"/>
        <item x="135"/>
        <item x="127"/>
        <item x="103"/>
        <item x="151"/>
        <item x="153"/>
        <item x="115"/>
        <item x="133"/>
        <item x="142"/>
        <item x="64"/>
        <item x="148"/>
        <item x="102"/>
        <item x="107"/>
        <item x="108"/>
        <item x="150"/>
        <item x="144"/>
        <item x="138"/>
        <item x="146"/>
        <item x="145"/>
        <item x="104"/>
        <item x="119"/>
        <item x="152"/>
        <item t="default"/>
      </items>
    </pivotField>
    <pivotField compact="0" outline="0" showAll="0"/>
    <pivotField dataField="1" compact="0" outline="0" showAll="0">
      <items count="246">
        <item x="209"/>
        <item x="167"/>
        <item x="165"/>
        <item x="166"/>
        <item x="170"/>
        <item x="228"/>
        <item x="243"/>
        <item x="186"/>
        <item x="206"/>
        <item x="169"/>
        <item x="208"/>
        <item x="195"/>
        <item x="193"/>
        <item x="238"/>
        <item x="242"/>
        <item x="130"/>
        <item x="188"/>
        <item x="240"/>
        <item x="223"/>
        <item x="207"/>
        <item x="214"/>
        <item x="39"/>
        <item x="221"/>
        <item x="215"/>
        <item x="244"/>
        <item x="213"/>
        <item x="171"/>
        <item x="178"/>
        <item x="217"/>
        <item x="152"/>
        <item x="147"/>
        <item x="224"/>
        <item x="122"/>
        <item x="7"/>
        <item x="153"/>
        <item x="184"/>
        <item x="239"/>
        <item x="40"/>
        <item x="222"/>
        <item x="59"/>
        <item x="168"/>
        <item x="230"/>
        <item x="163"/>
        <item x="210"/>
        <item x="232"/>
        <item x="78"/>
        <item x="241"/>
        <item x="43"/>
        <item x="94"/>
        <item x="229"/>
        <item x="1"/>
        <item x="161"/>
        <item x="196"/>
        <item x="220"/>
        <item x="58"/>
        <item x="154"/>
        <item x="219"/>
        <item x="15"/>
        <item x="70"/>
        <item x="92"/>
        <item x="125"/>
        <item x="225"/>
        <item x="68"/>
        <item x="50"/>
        <item x="145"/>
        <item x="211"/>
        <item x="77"/>
        <item x="14"/>
        <item x="80"/>
        <item x="204"/>
        <item x="172"/>
        <item x="89"/>
        <item x="237"/>
        <item x="231"/>
        <item x="120"/>
        <item x="119"/>
        <item x="205"/>
        <item x="56"/>
        <item x="181"/>
        <item x="202"/>
        <item x="197"/>
        <item x="112"/>
        <item x="41"/>
        <item x="60"/>
        <item x="149"/>
        <item x="126"/>
        <item x="233"/>
        <item x="26"/>
        <item x="24"/>
        <item x="173"/>
        <item x="67"/>
        <item x="18"/>
        <item x="34"/>
        <item x="25"/>
        <item x="124"/>
        <item x="198"/>
        <item x="33"/>
        <item x="66"/>
        <item x="200"/>
        <item x="203"/>
        <item x="108"/>
        <item x="158"/>
        <item x="140"/>
        <item x="157"/>
        <item x="44"/>
        <item x="32"/>
        <item x="212"/>
        <item x="226"/>
        <item x="144"/>
        <item x="139"/>
        <item x="199"/>
        <item x="142"/>
        <item x="98"/>
        <item x="64"/>
        <item x="65"/>
        <item x="3"/>
        <item x="148"/>
        <item x="52"/>
        <item x="61"/>
        <item x="103"/>
        <item x="22"/>
        <item x="37"/>
        <item x="159"/>
        <item x="74"/>
        <item x="11"/>
        <item x="102"/>
        <item x="235"/>
        <item x="71"/>
        <item x="57"/>
        <item x="88"/>
        <item x="75"/>
        <item x="129"/>
        <item x="96"/>
        <item x="13"/>
        <item x="151"/>
        <item x="134"/>
        <item x="143"/>
        <item x="216"/>
        <item x="54"/>
        <item x="86"/>
        <item x="182"/>
        <item x="38"/>
        <item x="79"/>
        <item x="93"/>
        <item x="101"/>
        <item x="116"/>
        <item x="107"/>
        <item x="31"/>
        <item x="90"/>
        <item x="132"/>
        <item x="5"/>
        <item x="69"/>
        <item x="62"/>
        <item x="9"/>
        <item x="234"/>
        <item x="227"/>
        <item x="83"/>
        <item x="138"/>
        <item x="97"/>
        <item x="194"/>
        <item x="156"/>
        <item x="118"/>
        <item x="6"/>
        <item x="99"/>
        <item x="87"/>
        <item x="4"/>
        <item x="236"/>
        <item x="123"/>
        <item x="49"/>
        <item x="180"/>
        <item x="109"/>
        <item x="175"/>
        <item x="8"/>
        <item x="121"/>
        <item x="174"/>
        <item x="218"/>
        <item x="137"/>
        <item x="135"/>
        <item x="30"/>
        <item x="45"/>
        <item x="23"/>
        <item x="91"/>
        <item x="191"/>
        <item x="17"/>
        <item x="47"/>
        <item x="81"/>
        <item x="76"/>
        <item x="155"/>
        <item x="189"/>
        <item x="104"/>
        <item x="19"/>
        <item x="84"/>
        <item x="48"/>
        <item x="179"/>
        <item x="29"/>
        <item x="183"/>
        <item x="141"/>
        <item x="73"/>
        <item x="27"/>
        <item x="192"/>
        <item x="162"/>
        <item x="190"/>
        <item x="55"/>
        <item x="82"/>
        <item x="16"/>
        <item x="131"/>
        <item x="63"/>
        <item x="187"/>
        <item x="127"/>
        <item x="177"/>
        <item x="201"/>
        <item x="136"/>
        <item x="160"/>
        <item x="36"/>
        <item x="100"/>
        <item x="176"/>
        <item x="35"/>
        <item x="72"/>
        <item x="114"/>
        <item x="2"/>
        <item x="164"/>
        <item x="146"/>
        <item x="105"/>
        <item x="111"/>
        <item x="110"/>
        <item x="0"/>
        <item x="185"/>
        <item x="115"/>
        <item x="117"/>
        <item x="113"/>
        <item x="95"/>
        <item x="46"/>
        <item x="10"/>
        <item x="20"/>
        <item x="85"/>
        <item x="12"/>
        <item x="128"/>
        <item x="21"/>
        <item x="106"/>
        <item x="42"/>
        <item x="150"/>
        <item x="133"/>
        <item x="51"/>
        <item x="53"/>
        <item x="28"/>
        <item t="default"/>
      </items>
    </pivotField>
    <pivotField compact="0" outline="0" showAll="0"/>
    <pivotField compact="0" outline="0" showAll="0"/>
    <pivotField compact="0" outline="0" showAll="0"/>
    <pivotField compact="0" outline="0" showAll="0"/>
  </pivotFields>
  <rowFields count="1">
    <field x="1"/>
  </rowFields>
  <rowItems count="9">
    <i>
      <x/>
    </i>
    <i>
      <x v="1"/>
    </i>
    <i>
      <x v="2"/>
    </i>
    <i>
      <x v="3"/>
    </i>
    <i>
      <x v="4"/>
    </i>
    <i>
      <x v="5"/>
    </i>
    <i>
      <x v="6"/>
    </i>
    <i>
      <x v="7"/>
    </i>
    <i t="grand">
      <x/>
    </i>
  </rowItems>
  <colItems count="1">
    <i/>
  </colItems>
  <dataFields count="1">
    <dataField name="Sum of mileag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77DC879-429B-4F91-9E56-54A681D8EBEC}"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location ref="L29:N46" firstHeaderRow="1" firstDataRow="1" firstDataCol="0"/>
  <pivotFields count="9">
    <pivotField showAll="0"/>
    <pivotField showAll="0"/>
    <pivotField showAll="0"/>
    <pivotField showAll="0">
      <items count="4">
        <item x="0"/>
        <item x="1"/>
        <item x="2"/>
        <item t="default"/>
      </items>
    </pivotField>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mission1" xr10:uid="{9C92B86D-E9F2-479F-8154-A5F1473CF4F3}" sourceName="transmission">
  <pivotTables>
    <pivotTable tabId="3" name="PivotTable1"/>
    <pivotTable tabId="3" name="PivotTable5"/>
    <pivotTable tabId="4" name="PivotTable2"/>
    <pivotTable tabId="5" name="PivotTable3"/>
  </pivotTables>
  <data>
    <tabular pivotCacheId="153491336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77EA2CEB-A3F4-43E9-A9AD-79676BD79FA3}" sourceName="model">
  <pivotTables>
    <pivotTable tabId="3" name="PivotTable7"/>
    <pivotTable tabId="3" name="PivotTable6"/>
    <pivotTable tabId="3" name="PivotTable8"/>
    <pivotTable tabId="4" name="PivotTable1"/>
    <pivotTable tabId="4" name="PivotTable3"/>
    <pivotTable tabId="4" name="PivotTable4"/>
    <pivotTable tabId="4" name="PivotTable5"/>
  </pivotTables>
  <data>
    <tabular pivotCacheId="611732086">
      <items count="18">
        <i x="2" s="1"/>
        <i x="4" s="1"/>
        <i x="7" s="1"/>
        <i x="5" s="1"/>
        <i x="0" s="1"/>
        <i x="1" s="1"/>
        <i x="3" s="1"/>
        <i x="15" s="1"/>
        <i x="10" s="1"/>
        <i x="12" s="1"/>
        <i x="11" s="1"/>
        <i x="13" s="1"/>
        <i x="6" s="1"/>
        <i x="9" s="1"/>
        <i x="8" s="1"/>
        <i x="14" s="1"/>
        <i x="17" s="1"/>
        <i x="1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 xr10:uid="{0D8AE36B-6A19-4749-844B-7875FDD78122}" sourceName="price">
  <pivotTables>
    <pivotTable tabId="3" name="PivotTable6"/>
    <pivotTable tabId="3" name="PivotTable7"/>
    <pivotTable tabId="3" name="PivotTable8"/>
    <pivotTable tabId="4" name="PivotTable1"/>
    <pivotTable tabId="4" name="PivotTable3"/>
    <pivotTable tabId="4" name="PivotTable4"/>
    <pivotTable tabId="4" name="PivotTable5"/>
  </pivotTables>
  <data>
    <tabular pivotCacheId="611732086">
      <items count="156">
        <i x="66" s="1"/>
        <i x="85" s="1"/>
        <i x="118" s="1"/>
        <i x="95" s="1"/>
        <i x="90" s="1"/>
        <i x="74" s="1"/>
        <i x="40" s="1"/>
        <i x="17" s="1"/>
        <i x="87" s="1"/>
        <i x="14" s="1"/>
        <i x="82" s="1"/>
        <i x="86" s="1"/>
        <i x="124" s="1"/>
        <i x="10" s="1"/>
        <i x="63" s="1"/>
        <i x="47" s="1"/>
        <i x="53" s="1"/>
        <i x="112" s="1"/>
        <i x="42" s="1"/>
        <i x="44" s="1"/>
        <i x="0" s="1"/>
        <i x="34" s="1"/>
        <i x="114" s="1"/>
        <i x="29" s="1"/>
        <i x="52" s="1"/>
        <i x="9" s="1"/>
        <i x="27" s="1"/>
        <i x="140" s="1"/>
        <i x="105" s="1"/>
        <i x="35" s="1"/>
        <i x="89" s="1"/>
        <i x="60" s="1"/>
        <i x="73" s="1"/>
        <i x="54" s="1"/>
        <i x="75" s="1"/>
        <i x="65" s="1"/>
        <i x="48" s="1"/>
        <i x="15" s="1"/>
        <i x="45" s="1"/>
        <i x="3" s="1"/>
        <i x="55" s="1"/>
        <i x="28" s="1"/>
        <i x="67" s="1"/>
        <i x="41" s="1"/>
        <i x="120" s="1"/>
        <i x="91" s="1"/>
        <i x="30" s="1"/>
        <i x="49" s="1"/>
        <i x="92" s="1"/>
        <i x="97" s="1"/>
        <i x="58" s="1"/>
        <i x="13" s="1"/>
        <i x="46" s="1"/>
        <i x="88" s="1"/>
        <i x="7" s="1"/>
        <i x="18" s="1"/>
        <i x="20" s="1"/>
        <i x="72" s="1"/>
        <i x="111" s="1"/>
        <i x="4" s="1"/>
        <i x="32" s="1"/>
        <i x="129" s="1"/>
        <i x="77" s="1"/>
        <i x="68" s="1"/>
        <i x="5" s="1"/>
        <i x="109" s="1"/>
        <i x="123" s="1"/>
        <i x="56" s="1"/>
        <i x="16" s="1"/>
        <i x="59" s="1"/>
        <i x="51" s="1"/>
        <i x="79" s="1"/>
        <i x="62" s="1"/>
        <i x="8" s="1"/>
        <i x="50" s="1"/>
        <i x="100" s="1"/>
        <i x="33" s="1"/>
        <i x="69" s="1"/>
        <i x="101" s="1"/>
        <i x="2" s="1"/>
        <i x="6" s="1"/>
        <i x="70" s="1"/>
        <i x="12" s="1"/>
        <i x="98" s="1"/>
        <i x="126" s="1"/>
        <i x="38" s="1"/>
        <i x="99" s="1"/>
        <i x="23" s="1"/>
        <i x="93" s="1"/>
        <i x="113" s="1"/>
        <i x="96" s="1"/>
        <i x="25" s="1"/>
        <i x="22" s="1"/>
        <i x="122" s="1"/>
        <i x="36" s="1"/>
        <i x="19" s="1"/>
        <i x="80" s="1"/>
        <i x="110" s="1"/>
        <i x="117" s="1"/>
        <i x="39" s="1"/>
        <i x="128" s="1"/>
        <i x="130" s="1"/>
        <i x="43" s="1"/>
        <i x="136" s="1"/>
        <i x="31" s="1"/>
        <i x="78" s="1"/>
        <i x="61" s="1"/>
        <i x="116" s="1"/>
        <i x="149" s="1"/>
        <i x="71" s="1"/>
        <i x="21" s="1"/>
        <i x="125" s="1"/>
        <i x="134" s="1"/>
        <i x="26" s="1"/>
        <i x="76" s="1"/>
        <i x="83" s="1"/>
        <i x="143" s="1"/>
        <i x="131" s="1"/>
        <i x="57" s="1"/>
        <i x="121" s="1"/>
        <i x="94" s="1"/>
        <i x="11" s="1"/>
        <i x="84" s="1"/>
        <i x="81" s="1"/>
        <i x="137" s="1"/>
        <i x="132" s="1"/>
        <i x="24" s="1"/>
        <i x="37" s="1"/>
        <i x="147" s="1"/>
        <i x="155" s="1"/>
        <i x="154" s="1"/>
        <i x="141" s="1"/>
        <i x="106" s="1"/>
        <i x="139" s="1"/>
        <i x="1" s="1"/>
        <i x="135" s="1"/>
        <i x="127" s="1"/>
        <i x="103" s="1"/>
        <i x="151" s="1"/>
        <i x="153" s="1"/>
        <i x="115" s="1"/>
        <i x="133" s="1"/>
        <i x="142" s="1"/>
        <i x="64" s="1"/>
        <i x="148" s="1"/>
        <i x="102" s="1"/>
        <i x="107" s="1"/>
        <i x="108" s="1"/>
        <i x="150" s="1"/>
        <i x="144" s="1"/>
        <i x="138" s="1"/>
        <i x="146" s="1"/>
        <i x="145" s="1"/>
        <i x="104" s="1"/>
        <i x="119" s="1"/>
        <i x="15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mission 1" xr10:uid="{06E2788F-4E49-4BE2-AA17-6FD15F96EF22}" cache="Slicer_transmission1" caption="transmission" rowHeight="251883"/>
  <slicer name="model" xr10:uid="{FF694DB4-2AB1-45A7-9FFC-BAE2738FF508}" cache="Slicer_model" caption="model"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xr10:uid="{6FD050B4-760D-4497-808B-03AE384B4C42}" cache="Slicer_price" caption="pric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B48C0E-9EDC-44A3-8906-A7E04FFD8FB4}" name="Table1" displayName="Table1" ref="A1:I249" totalsRowShown="0">
  <autoFilter ref="A1:I249" xr:uid="{02B48C0E-9EDC-44A3-8906-A7E04FFD8FB4}"/>
  <tableColumns count="9">
    <tableColumn id="1" xr3:uid="{DF57ED4E-D989-4B8A-A607-70BF1085FF0F}" name="model"/>
    <tableColumn id="2" xr3:uid="{580A6CD4-D179-461D-BAB3-74D09812B2BA}" name="year" dataDxfId="1"/>
    <tableColumn id="3" xr3:uid="{636224E1-1296-47BB-A02C-6D0DC1735BAF}" name="price"/>
    <tableColumn id="4" xr3:uid="{7A79CF3E-F6E2-4AE0-92E1-FF1E3B2B7927}" name="transmission"/>
    <tableColumn id="5" xr3:uid="{488870B3-31B0-4745-BABA-15C9D47B42EC}" name="mileage"/>
    <tableColumn id="6" xr3:uid="{5B127DE2-ADEA-4555-B0C2-31A7C27E3CD6}" name="fuelType"/>
    <tableColumn id="7" xr3:uid="{520B4B5D-6F99-4108-A2D6-5C34DC4CEB39}" name="tax"/>
    <tableColumn id="8" xr3:uid="{9E6550D2-33F4-4536-B641-B031244FEF26}" name="mpg"/>
    <tableColumn id="9" xr3:uid="{A2182458-582C-4A6D-83FD-D1400BEE2356}" name="engineSiz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7" Type="http://schemas.microsoft.com/office/2007/relationships/slicer" Target="../slicers/slicer2.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drawing" Target="../drawings/drawing2.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rinterSettings" Target="../printerSettings/printerSettings1.bin"/><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DF5C3-D18F-4281-A505-0525F3B68A35}">
  <dimension ref="A1:I249"/>
  <sheetViews>
    <sheetView topLeftCell="A2" zoomScale="87" workbookViewId="0">
      <selection activeCell="C18" sqref="A2:I249"/>
    </sheetView>
  </sheetViews>
  <sheetFormatPr defaultRowHeight="14.5" x14ac:dyDescent="0.35"/>
  <cols>
    <col min="1" max="1" width="14.08984375" customWidth="1"/>
    <col min="2" max="2" width="14.453125" customWidth="1"/>
    <col min="3" max="3" width="13.453125" customWidth="1"/>
    <col min="4" max="4" width="17" customWidth="1"/>
    <col min="5" max="5" width="14.26953125" customWidth="1"/>
    <col min="6" max="7" width="12.81640625" customWidth="1"/>
    <col min="8" max="8" width="12.453125" customWidth="1"/>
    <col min="9" max="9" width="13.90625" customWidth="1"/>
  </cols>
  <sheetData>
    <row r="1" spans="1:9" x14ac:dyDescent="0.35">
      <c r="A1" t="s">
        <v>0</v>
      </c>
      <c r="B1" t="s">
        <v>1</v>
      </c>
      <c r="C1" t="s">
        <v>2</v>
      </c>
      <c r="D1" t="s">
        <v>3</v>
      </c>
      <c r="E1" t="s">
        <v>4</v>
      </c>
      <c r="F1" t="s">
        <v>5</v>
      </c>
      <c r="G1" t="s">
        <v>6</v>
      </c>
      <c r="H1" t="s">
        <v>7</v>
      </c>
      <c r="I1" t="s">
        <v>8</v>
      </c>
    </row>
    <row r="2" spans="1:9" x14ac:dyDescent="0.35">
      <c r="A2" t="s">
        <v>9</v>
      </c>
      <c r="B2">
        <v>2014</v>
      </c>
      <c r="C2">
        <v>11200</v>
      </c>
      <c r="D2" t="s">
        <v>10</v>
      </c>
      <c r="E2">
        <v>67068</v>
      </c>
      <c r="F2" t="s">
        <v>11</v>
      </c>
      <c r="G2">
        <v>125</v>
      </c>
      <c r="H2">
        <v>57.6</v>
      </c>
      <c r="I2">
        <v>2</v>
      </c>
    </row>
    <row r="3" spans="1:9" x14ac:dyDescent="0.35">
      <c r="A3" t="s">
        <v>12</v>
      </c>
      <c r="B3">
        <v>2018</v>
      </c>
      <c r="C3">
        <v>27000</v>
      </c>
      <c r="D3" t="s">
        <v>10</v>
      </c>
      <c r="E3">
        <v>14827</v>
      </c>
      <c r="F3" t="s">
        <v>13</v>
      </c>
      <c r="G3">
        <v>145</v>
      </c>
      <c r="H3">
        <v>42.8</v>
      </c>
      <c r="I3">
        <v>2</v>
      </c>
    </row>
    <row r="4" spans="1:9" x14ac:dyDescent="0.35">
      <c r="A4" t="s">
        <v>9</v>
      </c>
      <c r="B4">
        <v>2016</v>
      </c>
      <c r="C4">
        <v>16000</v>
      </c>
      <c r="D4" t="s">
        <v>10</v>
      </c>
      <c r="E4">
        <v>62794</v>
      </c>
      <c r="F4" t="s">
        <v>11</v>
      </c>
      <c r="G4">
        <v>160</v>
      </c>
      <c r="H4">
        <v>51.4</v>
      </c>
      <c r="I4">
        <v>3</v>
      </c>
    </row>
    <row r="5" spans="1:9" x14ac:dyDescent="0.35">
      <c r="A5" t="s">
        <v>14</v>
      </c>
      <c r="B5">
        <v>2017</v>
      </c>
      <c r="C5">
        <v>12750</v>
      </c>
      <c r="D5" t="s">
        <v>10</v>
      </c>
      <c r="E5">
        <v>26676</v>
      </c>
      <c r="F5" t="s">
        <v>11</v>
      </c>
      <c r="G5">
        <v>145</v>
      </c>
      <c r="H5">
        <v>72.400000000000006</v>
      </c>
      <c r="I5">
        <v>1.5</v>
      </c>
    </row>
    <row r="6" spans="1:9" x14ac:dyDescent="0.35">
      <c r="A6" t="s">
        <v>15</v>
      </c>
      <c r="B6">
        <v>2014</v>
      </c>
      <c r="C6">
        <v>14500</v>
      </c>
      <c r="D6" t="s">
        <v>10</v>
      </c>
      <c r="E6">
        <v>39554</v>
      </c>
      <c r="F6" t="s">
        <v>11</v>
      </c>
      <c r="G6">
        <v>160</v>
      </c>
      <c r="H6">
        <v>50.4</v>
      </c>
      <c r="I6">
        <v>3</v>
      </c>
    </row>
    <row r="7" spans="1:9" x14ac:dyDescent="0.35">
      <c r="A7" t="s">
        <v>9</v>
      </c>
      <c r="B7">
        <v>2016</v>
      </c>
      <c r="C7">
        <v>14900</v>
      </c>
      <c r="D7" t="s">
        <v>10</v>
      </c>
      <c r="E7">
        <v>35309</v>
      </c>
      <c r="F7" t="s">
        <v>11</v>
      </c>
      <c r="G7">
        <v>125</v>
      </c>
      <c r="H7">
        <v>60.1</v>
      </c>
      <c r="I7">
        <v>2</v>
      </c>
    </row>
    <row r="8" spans="1:9" x14ac:dyDescent="0.35">
      <c r="A8" t="s">
        <v>9</v>
      </c>
      <c r="B8">
        <v>2017</v>
      </c>
      <c r="C8">
        <v>16000</v>
      </c>
      <c r="D8" t="s">
        <v>10</v>
      </c>
      <c r="E8">
        <v>38538</v>
      </c>
      <c r="F8" t="s">
        <v>11</v>
      </c>
      <c r="G8">
        <v>125</v>
      </c>
      <c r="H8">
        <v>60.1</v>
      </c>
      <c r="I8">
        <v>2</v>
      </c>
    </row>
    <row r="9" spans="1:9" x14ac:dyDescent="0.35">
      <c r="A9" t="s">
        <v>16</v>
      </c>
      <c r="B9">
        <v>2018</v>
      </c>
      <c r="C9">
        <v>16250</v>
      </c>
      <c r="D9" t="s">
        <v>17</v>
      </c>
      <c r="E9">
        <v>10401</v>
      </c>
      <c r="F9" t="s">
        <v>13</v>
      </c>
      <c r="G9">
        <v>145</v>
      </c>
      <c r="H9">
        <v>52.3</v>
      </c>
      <c r="I9">
        <v>1.5</v>
      </c>
    </row>
    <row r="10" spans="1:9" x14ac:dyDescent="0.35">
      <c r="A10" t="s">
        <v>18</v>
      </c>
      <c r="B10">
        <v>2017</v>
      </c>
      <c r="C10">
        <v>14250</v>
      </c>
      <c r="D10" t="s">
        <v>17</v>
      </c>
      <c r="E10">
        <v>42668</v>
      </c>
      <c r="F10" t="s">
        <v>11</v>
      </c>
      <c r="G10">
        <v>30</v>
      </c>
      <c r="H10">
        <v>62.8</v>
      </c>
      <c r="I10">
        <v>2</v>
      </c>
    </row>
    <row r="11" spans="1:9" x14ac:dyDescent="0.35">
      <c r="A11" t="s">
        <v>9</v>
      </c>
      <c r="B11">
        <v>2016</v>
      </c>
      <c r="C11">
        <v>14250</v>
      </c>
      <c r="D11" t="s">
        <v>10</v>
      </c>
      <c r="E11">
        <v>36099</v>
      </c>
      <c r="F11" t="s">
        <v>11</v>
      </c>
      <c r="G11">
        <v>20</v>
      </c>
      <c r="H11">
        <v>68.900000000000006</v>
      </c>
      <c r="I11">
        <v>2</v>
      </c>
    </row>
    <row r="12" spans="1:9" x14ac:dyDescent="0.35">
      <c r="A12" t="s">
        <v>19</v>
      </c>
      <c r="B12">
        <v>2017</v>
      </c>
      <c r="C12">
        <v>15500</v>
      </c>
      <c r="D12" t="s">
        <v>17</v>
      </c>
      <c r="E12">
        <v>74907</v>
      </c>
      <c r="F12" t="s">
        <v>11</v>
      </c>
      <c r="G12">
        <v>145</v>
      </c>
      <c r="H12">
        <v>52.3</v>
      </c>
      <c r="I12">
        <v>2</v>
      </c>
    </row>
    <row r="13" spans="1:9" x14ac:dyDescent="0.35">
      <c r="A13" t="s">
        <v>14</v>
      </c>
      <c r="B13">
        <v>2017</v>
      </c>
      <c r="C13">
        <v>11800</v>
      </c>
      <c r="D13" t="s">
        <v>17</v>
      </c>
      <c r="E13">
        <v>29840</v>
      </c>
      <c r="F13" t="s">
        <v>11</v>
      </c>
      <c r="G13">
        <v>20</v>
      </c>
      <c r="H13">
        <v>68.900000000000006</v>
      </c>
      <c r="I13">
        <v>2</v>
      </c>
    </row>
    <row r="14" spans="1:9" x14ac:dyDescent="0.35">
      <c r="A14" t="s">
        <v>19</v>
      </c>
      <c r="B14">
        <v>2016</v>
      </c>
      <c r="C14">
        <v>15500</v>
      </c>
      <c r="D14" t="s">
        <v>10</v>
      </c>
      <c r="E14">
        <v>77823</v>
      </c>
      <c r="F14" t="s">
        <v>11</v>
      </c>
      <c r="G14">
        <v>125</v>
      </c>
      <c r="H14">
        <v>54.3</v>
      </c>
      <c r="I14">
        <v>2</v>
      </c>
    </row>
    <row r="15" spans="1:9" x14ac:dyDescent="0.35">
      <c r="A15" t="s">
        <v>16</v>
      </c>
      <c r="B15">
        <v>2015</v>
      </c>
      <c r="C15">
        <v>10500</v>
      </c>
      <c r="D15" t="s">
        <v>17</v>
      </c>
      <c r="E15">
        <v>31469</v>
      </c>
      <c r="F15" t="s">
        <v>11</v>
      </c>
      <c r="G15">
        <v>20</v>
      </c>
      <c r="H15">
        <v>68.900000000000006</v>
      </c>
      <c r="I15">
        <v>2</v>
      </c>
    </row>
    <row r="16" spans="1:9" x14ac:dyDescent="0.35">
      <c r="A16" t="s">
        <v>19</v>
      </c>
      <c r="B16">
        <v>2017</v>
      </c>
      <c r="C16">
        <v>22000</v>
      </c>
      <c r="D16" t="s">
        <v>10</v>
      </c>
      <c r="E16">
        <v>19057</v>
      </c>
      <c r="F16" t="s">
        <v>11</v>
      </c>
      <c r="G16">
        <v>145</v>
      </c>
      <c r="H16">
        <v>54.3</v>
      </c>
      <c r="I16">
        <v>2</v>
      </c>
    </row>
    <row r="17" spans="1:9" x14ac:dyDescent="0.35">
      <c r="A17" t="s">
        <v>20</v>
      </c>
      <c r="B17">
        <v>2017</v>
      </c>
      <c r="C17">
        <v>16500</v>
      </c>
      <c r="D17" t="s">
        <v>17</v>
      </c>
      <c r="E17">
        <v>16570</v>
      </c>
      <c r="F17" t="s">
        <v>11</v>
      </c>
      <c r="G17">
        <v>125</v>
      </c>
      <c r="H17">
        <v>58.9</v>
      </c>
      <c r="I17">
        <v>2</v>
      </c>
    </row>
    <row r="18" spans="1:9" x14ac:dyDescent="0.35">
      <c r="A18" t="s">
        <v>20</v>
      </c>
      <c r="B18">
        <v>2017</v>
      </c>
      <c r="C18">
        <v>14250</v>
      </c>
      <c r="D18" t="s">
        <v>10</v>
      </c>
      <c r="E18">
        <v>55594</v>
      </c>
      <c r="F18" t="s">
        <v>21</v>
      </c>
      <c r="G18">
        <v>135</v>
      </c>
      <c r="H18">
        <v>148.69999999999999</v>
      </c>
      <c r="I18">
        <v>2</v>
      </c>
    </row>
    <row r="19" spans="1:9" x14ac:dyDescent="0.35">
      <c r="A19" t="s">
        <v>20</v>
      </c>
      <c r="B19">
        <v>2017</v>
      </c>
      <c r="C19">
        <v>16000</v>
      </c>
      <c r="D19" t="s">
        <v>10</v>
      </c>
      <c r="E19">
        <v>45456</v>
      </c>
      <c r="F19" t="s">
        <v>11</v>
      </c>
      <c r="G19">
        <v>30</v>
      </c>
      <c r="H19">
        <v>64.2</v>
      </c>
      <c r="I19">
        <v>2</v>
      </c>
    </row>
    <row r="20" spans="1:9" x14ac:dyDescent="0.35">
      <c r="A20" t="s">
        <v>14</v>
      </c>
      <c r="B20">
        <v>2017</v>
      </c>
      <c r="C20">
        <v>15500</v>
      </c>
      <c r="D20" t="s">
        <v>10</v>
      </c>
      <c r="E20">
        <v>22812</v>
      </c>
      <c r="F20" t="s">
        <v>11</v>
      </c>
      <c r="G20">
        <v>20</v>
      </c>
      <c r="H20">
        <v>68.900000000000006</v>
      </c>
      <c r="I20">
        <v>1.5</v>
      </c>
    </row>
    <row r="21" spans="1:9" x14ac:dyDescent="0.35">
      <c r="A21" t="s">
        <v>18</v>
      </c>
      <c r="B21">
        <v>2014</v>
      </c>
      <c r="C21">
        <v>14000</v>
      </c>
      <c r="D21" t="s">
        <v>10</v>
      </c>
      <c r="E21">
        <v>47348</v>
      </c>
      <c r="F21" t="s">
        <v>11</v>
      </c>
      <c r="G21">
        <v>125</v>
      </c>
      <c r="H21">
        <v>60.1</v>
      </c>
      <c r="I21">
        <v>2</v>
      </c>
    </row>
    <row r="22" spans="1:9" x14ac:dyDescent="0.35">
      <c r="A22" t="s">
        <v>14</v>
      </c>
      <c r="B22">
        <v>2015</v>
      </c>
      <c r="C22">
        <v>9700</v>
      </c>
      <c r="D22" t="s">
        <v>10</v>
      </c>
      <c r="E22">
        <v>75124</v>
      </c>
      <c r="F22" t="s">
        <v>11</v>
      </c>
      <c r="G22">
        <v>20</v>
      </c>
      <c r="H22">
        <v>70.599999999999994</v>
      </c>
      <c r="I22">
        <v>2</v>
      </c>
    </row>
    <row r="23" spans="1:9" x14ac:dyDescent="0.35">
      <c r="A23" t="s">
        <v>20</v>
      </c>
      <c r="B23">
        <v>2015</v>
      </c>
      <c r="C23">
        <v>12600</v>
      </c>
      <c r="D23" t="s">
        <v>10</v>
      </c>
      <c r="E23">
        <v>78957</v>
      </c>
      <c r="F23" t="s">
        <v>11</v>
      </c>
      <c r="G23">
        <v>30</v>
      </c>
      <c r="H23">
        <v>62.8</v>
      </c>
      <c r="I23">
        <v>2</v>
      </c>
    </row>
    <row r="24" spans="1:9" x14ac:dyDescent="0.35">
      <c r="A24" t="s">
        <v>20</v>
      </c>
      <c r="B24">
        <v>2016</v>
      </c>
      <c r="C24">
        <v>15100</v>
      </c>
      <c r="D24" t="s">
        <v>10</v>
      </c>
      <c r="E24">
        <v>29213</v>
      </c>
      <c r="F24" t="s">
        <v>11</v>
      </c>
      <c r="G24">
        <v>30</v>
      </c>
      <c r="H24">
        <v>64.2</v>
      </c>
      <c r="I24">
        <v>2</v>
      </c>
    </row>
    <row r="25" spans="1:9" x14ac:dyDescent="0.35">
      <c r="A25" t="s">
        <v>14</v>
      </c>
      <c r="B25">
        <v>2016</v>
      </c>
      <c r="C25">
        <v>9400</v>
      </c>
      <c r="D25" t="s">
        <v>17</v>
      </c>
      <c r="E25">
        <v>44498</v>
      </c>
      <c r="F25" t="s">
        <v>11</v>
      </c>
      <c r="G25">
        <v>0</v>
      </c>
      <c r="H25">
        <v>83.1</v>
      </c>
      <c r="I25">
        <v>1.5</v>
      </c>
    </row>
    <row r="26" spans="1:9" x14ac:dyDescent="0.35">
      <c r="A26" t="s">
        <v>14</v>
      </c>
      <c r="B26">
        <v>2016</v>
      </c>
      <c r="C26">
        <v>14300</v>
      </c>
      <c r="D26" t="s">
        <v>10</v>
      </c>
      <c r="E26">
        <v>22461</v>
      </c>
      <c r="F26" t="s">
        <v>11</v>
      </c>
      <c r="G26">
        <v>20</v>
      </c>
      <c r="H26">
        <v>67.3</v>
      </c>
      <c r="I26">
        <v>2</v>
      </c>
    </row>
    <row r="27" spans="1:9" x14ac:dyDescent="0.35">
      <c r="A27" t="s">
        <v>14</v>
      </c>
      <c r="B27">
        <v>2016</v>
      </c>
      <c r="C27">
        <v>11200</v>
      </c>
      <c r="D27" t="s">
        <v>17</v>
      </c>
      <c r="E27">
        <v>23005</v>
      </c>
      <c r="F27" t="s">
        <v>13</v>
      </c>
      <c r="G27">
        <v>125</v>
      </c>
      <c r="H27">
        <v>53.3</v>
      </c>
      <c r="I27">
        <v>1.5</v>
      </c>
    </row>
    <row r="28" spans="1:9" x14ac:dyDescent="0.35">
      <c r="A28" t="s">
        <v>20</v>
      </c>
      <c r="B28">
        <v>2019</v>
      </c>
      <c r="C28">
        <v>17800</v>
      </c>
      <c r="D28" t="s">
        <v>10</v>
      </c>
      <c r="E28">
        <v>22310</v>
      </c>
      <c r="F28" t="s">
        <v>11</v>
      </c>
      <c r="G28">
        <v>145</v>
      </c>
      <c r="H28">
        <v>64.2</v>
      </c>
      <c r="I28">
        <v>2</v>
      </c>
    </row>
    <row r="29" spans="1:9" x14ac:dyDescent="0.35">
      <c r="A29" t="s">
        <v>20</v>
      </c>
      <c r="B29">
        <v>2016</v>
      </c>
      <c r="C29">
        <v>14400</v>
      </c>
      <c r="D29" t="s">
        <v>10</v>
      </c>
      <c r="E29">
        <v>51994</v>
      </c>
      <c r="F29" t="s">
        <v>11</v>
      </c>
      <c r="G29">
        <v>30</v>
      </c>
      <c r="H29">
        <v>62.8</v>
      </c>
      <c r="I29">
        <v>2</v>
      </c>
    </row>
    <row r="30" spans="1:9" x14ac:dyDescent="0.35">
      <c r="A30" t="s">
        <v>22</v>
      </c>
      <c r="B30">
        <v>2016</v>
      </c>
      <c r="C30">
        <v>19750</v>
      </c>
      <c r="D30" t="s">
        <v>10</v>
      </c>
      <c r="E30">
        <v>96213</v>
      </c>
      <c r="F30" t="s">
        <v>11</v>
      </c>
      <c r="G30">
        <v>165</v>
      </c>
      <c r="H30">
        <v>52.3</v>
      </c>
      <c r="I30">
        <v>2</v>
      </c>
    </row>
    <row r="31" spans="1:9" x14ac:dyDescent="0.35">
      <c r="A31" t="s">
        <v>19</v>
      </c>
      <c r="B31">
        <v>2015</v>
      </c>
      <c r="C31">
        <v>17400</v>
      </c>
      <c r="D31" t="s">
        <v>10</v>
      </c>
      <c r="E31">
        <v>50316</v>
      </c>
      <c r="F31" t="s">
        <v>11</v>
      </c>
      <c r="G31">
        <v>200</v>
      </c>
      <c r="H31">
        <v>47.9</v>
      </c>
      <c r="I31">
        <v>3</v>
      </c>
    </row>
    <row r="32" spans="1:9" x14ac:dyDescent="0.35">
      <c r="A32" t="s">
        <v>18</v>
      </c>
      <c r="B32">
        <v>2017</v>
      </c>
      <c r="C32">
        <v>16800</v>
      </c>
      <c r="D32" t="s">
        <v>10</v>
      </c>
      <c r="E32">
        <v>44011</v>
      </c>
      <c r="F32" t="s">
        <v>11</v>
      </c>
      <c r="G32">
        <v>150</v>
      </c>
      <c r="H32">
        <v>65.7</v>
      </c>
      <c r="I32">
        <v>2</v>
      </c>
    </row>
    <row r="33" spans="1:9" x14ac:dyDescent="0.35">
      <c r="A33" t="s">
        <v>23</v>
      </c>
      <c r="B33">
        <v>2017</v>
      </c>
      <c r="C33">
        <v>23000</v>
      </c>
      <c r="D33" t="s">
        <v>10</v>
      </c>
      <c r="E33">
        <v>34960</v>
      </c>
      <c r="F33" t="s">
        <v>11</v>
      </c>
      <c r="G33">
        <v>150</v>
      </c>
      <c r="H33">
        <v>54.3</v>
      </c>
      <c r="I33">
        <v>2</v>
      </c>
    </row>
    <row r="34" spans="1:9" x14ac:dyDescent="0.35">
      <c r="A34" t="s">
        <v>24</v>
      </c>
      <c r="B34">
        <v>2016</v>
      </c>
      <c r="C34">
        <v>17100</v>
      </c>
      <c r="D34" t="s">
        <v>10</v>
      </c>
      <c r="E34">
        <v>25269</v>
      </c>
      <c r="F34" t="s">
        <v>21</v>
      </c>
      <c r="G34">
        <v>0</v>
      </c>
      <c r="H34">
        <v>470.8</v>
      </c>
      <c r="I34">
        <v>0.6</v>
      </c>
    </row>
    <row r="35" spans="1:9" x14ac:dyDescent="0.35">
      <c r="A35" t="s">
        <v>14</v>
      </c>
      <c r="B35">
        <v>2017</v>
      </c>
      <c r="C35">
        <v>20500</v>
      </c>
      <c r="D35" t="s">
        <v>10</v>
      </c>
      <c r="E35">
        <v>24029</v>
      </c>
      <c r="F35" t="s">
        <v>13</v>
      </c>
      <c r="G35">
        <v>145</v>
      </c>
      <c r="H35">
        <v>39.799999999999997</v>
      </c>
      <c r="I35">
        <v>3</v>
      </c>
    </row>
    <row r="36" spans="1:9" x14ac:dyDescent="0.35">
      <c r="A36" t="s">
        <v>14</v>
      </c>
      <c r="B36">
        <v>2017</v>
      </c>
      <c r="C36">
        <v>11900</v>
      </c>
      <c r="D36" t="s">
        <v>17</v>
      </c>
      <c r="E36">
        <v>22920</v>
      </c>
      <c r="F36" t="s">
        <v>13</v>
      </c>
      <c r="G36">
        <v>145</v>
      </c>
      <c r="H36">
        <v>53.3</v>
      </c>
      <c r="I36">
        <v>1.5</v>
      </c>
    </row>
    <row r="37" spans="1:9" x14ac:dyDescent="0.35">
      <c r="A37" t="s">
        <v>16</v>
      </c>
      <c r="B37">
        <v>2017</v>
      </c>
      <c r="C37">
        <v>13000</v>
      </c>
      <c r="D37" t="s">
        <v>10</v>
      </c>
      <c r="E37">
        <v>61818</v>
      </c>
      <c r="F37" t="s">
        <v>21</v>
      </c>
      <c r="G37">
        <v>0</v>
      </c>
      <c r="H37">
        <v>141.19999999999999</v>
      </c>
      <c r="I37">
        <v>1.5</v>
      </c>
    </row>
    <row r="38" spans="1:9" x14ac:dyDescent="0.35">
      <c r="A38" t="s">
        <v>20</v>
      </c>
      <c r="B38">
        <v>2015</v>
      </c>
      <c r="C38">
        <v>11500</v>
      </c>
      <c r="D38" t="s">
        <v>17</v>
      </c>
      <c r="E38">
        <v>59634</v>
      </c>
      <c r="F38" t="s">
        <v>11</v>
      </c>
      <c r="G38">
        <v>125</v>
      </c>
      <c r="H38">
        <v>61.4</v>
      </c>
      <c r="I38">
        <v>2</v>
      </c>
    </row>
    <row r="39" spans="1:9" x14ac:dyDescent="0.35">
      <c r="A39" t="s">
        <v>14</v>
      </c>
      <c r="B39">
        <v>2016</v>
      </c>
      <c r="C39">
        <v>13500</v>
      </c>
      <c r="D39" t="s">
        <v>17</v>
      </c>
      <c r="E39">
        <v>29226</v>
      </c>
      <c r="F39" t="s">
        <v>11</v>
      </c>
      <c r="G39">
        <v>30</v>
      </c>
      <c r="H39">
        <v>62.8</v>
      </c>
      <c r="I39">
        <v>2</v>
      </c>
    </row>
    <row r="40" spans="1:9" x14ac:dyDescent="0.35">
      <c r="A40" t="s">
        <v>25</v>
      </c>
      <c r="B40">
        <v>2017</v>
      </c>
      <c r="C40">
        <v>18900</v>
      </c>
      <c r="D40" t="s">
        <v>10</v>
      </c>
      <c r="E40">
        <v>33514</v>
      </c>
      <c r="F40" t="s">
        <v>11</v>
      </c>
      <c r="G40">
        <v>145</v>
      </c>
      <c r="H40">
        <v>60.1</v>
      </c>
      <c r="I40">
        <v>2</v>
      </c>
    </row>
    <row r="41" spans="1:9" x14ac:dyDescent="0.35">
      <c r="A41" t="s">
        <v>14</v>
      </c>
      <c r="B41">
        <v>2018</v>
      </c>
      <c r="C41">
        <v>14600</v>
      </c>
      <c r="D41" t="s">
        <v>10</v>
      </c>
      <c r="E41">
        <v>6522</v>
      </c>
      <c r="F41" t="s">
        <v>13</v>
      </c>
      <c r="G41">
        <v>145</v>
      </c>
      <c r="H41">
        <v>37.200000000000003</v>
      </c>
      <c r="I41">
        <v>1.5</v>
      </c>
    </row>
    <row r="42" spans="1:9" x14ac:dyDescent="0.35">
      <c r="A42" t="s">
        <v>20</v>
      </c>
      <c r="B42">
        <v>2016</v>
      </c>
      <c r="C42">
        <v>15800</v>
      </c>
      <c r="D42" t="s">
        <v>17</v>
      </c>
      <c r="E42">
        <v>11231</v>
      </c>
      <c r="F42" t="s">
        <v>13</v>
      </c>
      <c r="G42">
        <v>145</v>
      </c>
      <c r="H42">
        <v>47.9</v>
      </c>
      <c r="I42">
        <v>2</v>
      </c>
    </row>
    <row r="43" spans="1:9" x14ac:dyDescent="0.35">
      <c r="A43" t="s">
        <v>14</v>
      </c>
      <c r="B43">
        <v>2016</v>
      </c>
      <c r="C43">
        <v>11400</v>
      </c>
      <c r="D43" t="s">
        <v>17</v>
      </c>
      <c r="E43">
        <v>21591</v>
      </c>
      <c r="F43" t="s">
        <v>13</v>
      </c>
      <c r="G43">
        <v>125</v>
      </c>
      <c r="H43">
        <v>53.3</v>
      </c>
      <c r="I43">
        <v>1.5</v>
      </c>
    </row>
    <row r="44" spans="1:9" x14ac:dyDescent="0.35">
      <c r="A44" t="s">
        <v>19</v>
      </c>
      <c r="B44">
        <v>2013</v>
      </c>
      <c r="C44">
        <v>12000</v>
      </c>
      <c r="D44" t="s">
        <v>10</v>
      </c>
      <c r="E44">
        <v>79972</v>
      </c>
      <c r="F44" t="s">
        <v>11</v>
      </c>
      <c r="G44">
        <v>200</v>
      </c>
      <c r="H44">
        <v>47.1</v>
      </c>
      <c r="I44">
        <v>3</v>
      </c>
    </row>
    <row r="45" spans="1:9" x14ac:dyDescent="0.35">
      <c r="A45" t="s">
        <v>14</v>
      </c>
      <c r="B45">
        <v>2018</v>
      </c>
      <c r="C45">
        <v>17500</v>
      </c>
      <c r="D45" t="s">
        <v>10</v>
      </c>
      <c r="E45">
        <v>14037</v>
      </c>
      <c r="F45" t="s">
        <v>13</v>
      </c>
      <c r="G45">
        <v>145</v>
      </c>
      <c r="H45">
        <v>54.3</v>
      </c>
      <c r="I45">
        <v>1.5</v>
      </c>
    </row>
    <row r="46" spans="1:9" x14ac:dyDescent="0.35">
      <c r="A46" t="s">
        <v>9</v>
      </c>
      <c r="B46">
        <v>2017</v>
      </c>
      <c r="C46">
        <v>23500</v>
      </c>
      <c r="D46" t="s">
        <v>10</v>
      </c>
      <c r="E46">
        <v>25034</v>
      </c>
      <c r="F46" t="s">
        <v>11</v>
      </c>
      <c r="G46">
        <v>200</v>
      </c>
      <c r="H46">
        <v>47.9</v>
      </c>
      <c r="I46">
        <v>3</v>
      </c>
    </row>
    <row r="47" spans="1:9" x14ac:dyDescent="0.35">
      <c r="A47" t="s">
        <v>25</v>
      </c>
      <c r="B47">
        <v>2016</v>
      </c>
      <c r="C47">
        <v>16700</v>
      </c>
      <c r="D47" t="s">
        <v>10</v>
      </c>
      <c r="E47">
        <v>44478</v>
      </c>
      <c r="F47" t="s">
        <v>11</v>
      </c>
      <c r="G47">
        <v>125</v>
      </c>
      <c r="H47">
        <v>60.1</v>
      </c>
      <c r="I47">
        <v>2</v>
      </c>
    </row>
    <row r="48" spans="1:9" x14ac:dyDescent="0.35">
      <c r="A48" t="s">
        <v>19</v>
      </c>
      <c r="B48">
        <v>2017</v>
      </c>
      <c r="C48">
        <v>18000</v>
      </c>
      <c r="D48" t="s">
        <v>10</v>
      </c>
      <c r="E48">
        <v>74852</v>
      </c>
      <c r="F48" t="s">
        <v>11</v>
      </c>
      <c r="G48">
        <v>150</v>
      </c>
      <c r="H48">
        <v>47.1</v>
      </c>
      <c r="I48">
        <v>3</v>
      </c>
    </row>
    <row r="49" spans="1:9" x14ac:dyDescent="0.35">
      <c r="A49" t="s">
        <v>18</v>
      </c>
      <c r="B49">
        <v>2016</v>
      </c>
      <c r="C49">
        <v>15500</v>
      </c>
      <c r="D49" t="s">
        <v>10</v>
      </c>
      <c r="E49">
        <v>45856</v>
      </c>
      <c r="F49" t="s">
        <v>11</v>
      </c>
      <c r="G49">
        <v>30</v>
      </c>
      <c r="H49">
        <v>65.7</v>
      </c>
      <c r="I49">
        <v>2</v>
      </c>
    </row>
    <row r="50" spans="1:9" x14ac:dyDescent="0.35">
      <c r="A50" t="s">
        <v>14</v>
      </c>
      <c r="B50">
        <v>2016</v>
      </c>
      <c r="C50">
        <v>9200</v>
      </c>
      <c r="D50" t="s">
        <v>17</v>
      </c>
      <c r="E50">
        <v>48858</v>
      </c>
      <c r="F50" t="s">
        <v>11</v>
      </c>
      <c r="G50">
        <v>0</v>
      </c>
      <c r="H50">
        <v>83.1</v>
      </c>
      <c r="I50">
        <v>1.5</v>
      </c>
    </row>
    <row r="51" spans="1:9" x14ac:dyDescent="0.35">
      <c r="A51" t="s">
        <v>14</v>
      </c>
      <c r="B51">
        <v>2017</v>
      </c>
      <c r="C51">
        <v>11200</v>
      </c>
      <c r="D51" t="s">
        <v>17</v>
      </c>
      <c r="E51">
        <v>40399</v>
      </c>
      <c r="F51" t="s">
        <v>11</v>
      </c>
      <c r="G51">
        <v>145</v>
      </c>
      <c r="H51">
        <v>68.900000000000006</v>
      </c>
      <c r="I51">
        <v>2</v>
      </c>
    </row>
    <row r="52" spans="1:9" x14ac:dyDescent="0.35">
      <c r="A52" t="s">
        <v>14</v>
      </c>
      <c r="B52">
        <v>2016</v>
      </c>
      <c r="C52">
        <v>13200</v>
      </c>
      <c r="D52" t="s">
        <v>17</v>
      </c>
      <c r="E52">
        <v>17393</v>
      </c>
      <c r="F52" t="s">
        <v>11</v>
      </c>
      <c r="G52">
        <v>30</v>
      </c>
      <c r="H52">
        <v>65.7</v>
      </c>
      <c r="I52">
        <v>2</v>
      </c>
    </row>
    <row r="53" spans="1:9" x14ac:dyDescent="0.35">
      <c r="A53" t="s">
        <v>9</v>
      </c>
      <c r="B53">
        <v>2014</v>
      </c>
      <c r="C53">
        <v>11000</v>
      </c>
      <c r="D53" t="s">
        <v>10</v>
      </c>
      <c r="E53">
        <v>84816</v>
      </c>
      <c r="F53" t="s">
        <v>11</v>
      </c>
      <c r="G53">
        <v>30</v>
      </c>
      <c r="H53">
        <v>62.8</v>
      </c>
      <c r="I53">
        <v>2</v>
      </c>
    </row>
    <row r="54" spans="1:9" x14ac:dyDescent="0.35">
      <c r="A54" t="s">
        <v>20</v>
      </c>
      <c r="B54">
        <v>2017</v>
      </c>
      <c r="C54">
        <v>18500</v>
      </c>
      <c r="D54" t="s">
        <v>10</v>
      </c>
      <c r="E54">
        <v>27139</v>
      </c>
      <c r="F54" t="s">
        <v>11</v>
      </c>
      <c r="G54">
        <v>160</v>
      </c>
      <c r="H54">
        <v>51.4</v>
      </c>
      <c r="I54">
        <v>3</v>
      </c>
    </row>
    <row r="55" spans="1:9" x14ac:dyDescent="0.35">
      <c r="A55" t="s">
        <v>14</v>
      </c>
      <c r="B55">
        <v>2017</v>
      </c>
      <c r="C55">
        <v>12750</v>
      </c>
      <c r="D55" t="s">
        <v>10</v>
      </c>
      <c r="E55">
        <v>91563</v>
      </c>
      <c r="F55" t="s">
        <v>11</v>
      </c>
      <c r="G55">
        <v>125</v>
      </c>
      <c r="H55">
        <v>60.1</v>
      </c>
      <c r="I55">
        <v>2</v>
      </c>
    </row>
    <row r="56" spans="1:9" x14ac:dyDescent="0.35">
      <c r="A56" t="s">
        <v>20</v>
      </c>
      <c r="B56">
        <v>2014</v>
      </c>
      <c r="C56">
        <v>14000</v>
      </c>
      <c r="D56" t="s">
        <v>17</v>
      </c>
      <c r="E56">
        <v>32139</v>
      </c>
      <c r="F56" t="s">
        <v>13</v>
      </c>
      <c r="G56">
        <v>205</v>
      </c>
      <c r="H56">
        <v>43.5</v>
      </c>
      <c r="I56">
        <v>2</v>
      </c>
    </row>
    <row r="57" spans="1:9" x14ac:dyDescent="0.35">
      <c r="A57" t="s">
        <v>25</v>
      </c>
      <c r="B57">
        <v>2017</v>
      </c>
      <c r="C57">
        <v>14000</v>
      </c>
      <c r="D57" t="s">
        <v>10</v>
      </c>
      <c r="E57">
        <v>54120</v>
      </c>
      <c r="F57" t="s">
        <v>11</v>
      </c>
      <c r="G57">
        <v>30</v>
      </c>
      <c r="H57">
        <v>65.7</v>
      </c>
      <c r="I57">
        <v>2</v>
      </c>
    </row>
    <row r="58" spans="1:9" x14ac:dyDescent="0.35">
      <c r="A58" t="s">
        <v>25</v>
      </c>
      <c r="B58">
        <v>2017</v>
      </c>
      <c r="C58">
        <v>14000</v>
      </c>
      <c r="D58" t="s">
        <v>17</v>
      </c>
      <c r="E58">
        <v>20925</v>
      </c>
      <c r="F58" t="s">
        <v>11</v>
      </c>
      <c r="G58">
        <v>150</v>
      </c>
      <c r="H58">
        <v>68.900000000000006</v>
      </c>
      <c r="I58">
        <v>2</v>
      </c>
    </row>
    <row r="59" spans="1:9" x14ac:dyDescent="0.35">
      <c r="A59" t="s">
        <v>20</v>
      </c>
      <c r="B59">
        <v>2016</v>
      </c>
      <c r="C59">
        <v>12750</v>
      </c>
      <c r="D59" t="s">
        <v>17</v>
      </c>
      <c r="E59">
        <v>30521</v>
      </c>
      <c r="F59" t="s">
        <v>11</v>
      </c>
      <c r="G59">
        <v>20</v>
      </c>
      <c r="H59">
        <v>68.900000000000006</v>
      </c>
      <c r="I59">
        <v>2</v>
      </c>
    </row>
    <row r="60" spans="1:9" x14ac:dyDescent="0.35">
      <c r="A60" t="s">
        <v>25</v>
      </c>
      <c r="B60">
        <v>2018</v>
      </c>
      <c r="C60">
        <v>18000</v>
      </c>
      <c r="D60" t="s">
        <v>17</v>
      </c>
      <c r="E60">
        <v>16066</v>
      </c>
      <c r="F60" t="s">
        <v>13</v>
      </c>
      <c r="G60">
        <v>150</v>
      </c>
      <c r="H60">
        <v>51.4</v>
      </c>
      <c r="I60">
        <v>1.5</v>
      </c>
    </row>
    <row r="61" spans="1:9" x14ac:dyDescent="0.35">
      <c r="A61" t="s">
        <v>14</v>
      </c>
      <c r="B61">
        <v>2015</v>
      </c>
      <c r="C61">
        <v>11100</v>
      </c>
      <c r="D61" t="s">
        <v>17</v>
      </c>
      <c r="E61">
        <v>11524</v>
      </c>
      <c r="F61" t="s">
        <v>11</v>
      </c>
      <c r="G61">
        <v>0</v>
      </c>
      <c r="H61">
        <v>83.1</v>
      </c>
      <c r="I61">
        <v>1.5</v>
      </c>
    </row>
    <row r="62" spans="1:9" x14ac:dyDescent="0.35">
      <c r="A62" t="s">
        <v>14</v>
      </c>
      <c r="B62">
        <v>2017</v>
      </c>
      <c r="C62">
        <v>12700</v>
      </c>
      <c r="D62" t="s">
        <v>17</v>
      </c>
      <c r="E62">
        <v>21809</v>
      </c>
      <c r="F62" t="s">
        <v>13</v>
      </c>
      <c r="G62">
        <v>145</v>
      </c>
      <c r="H62">
        <v>53.3</v>
      </c>
      <c r="I62">
        <v>1.5</v>
      </c>
    </row>
    <row r="63" spans="1:9" x14ac:dyDescent="0.35">
      <c r="A63" t="s">
        <v>14</v>
      </c>
      <c r="B63">
        <v>2017</v>
      </c>
      <c r="C63">
        <v>14500</v>
      </c>
      <c r="D63" t="s">
        <v>10</v>
      </c>
      <c r="E63">
        <v>27245</v>
      </c>
      <c r="F63" t="s">
        <v>11</v>
      </c>
      <c r="G63">
        <v>145</v>
      </c>
      <c r="H63">
        <v>68.900000000000006</v>
      </c>
      <c r="I63">
        <v>2</v>
      </c>
    </row>
    <row r="64" spans="1:9" x14ac:dyDescent="0.35">
      <c r="A64" t="s">
        <v>20</v>
      </c>
      <c r="B64">
        <v>2013</v>
      </c>
      <c r="C64">
        <v>12750</v>
      </c>
      <c r="D64" t="s">
        <v>10</v>
      </c>
      <c r="E64">
        <v>35736</v>
      </c>
      <c r="F64" t="s">
        <v>11</v>
      </c>
      <c r="G64">
        <v>125</v>
      </c>
      <c r="H64">
        <v>58.9</v>
      </c>
      <c r="I64">
        <v>2</v>
      </c>
    </row>
    <row r="65" spans="1:9" x14ac:dyDescent="0.35">
      <c r="A65" t="s">
        <v>25</v>
      </c>
      <c r="B65">
        <v>2017</v>
      </c>
      <c r="C65">
        <v>14100</v>
      </c>
      <c r="D65" t="s">
        <v>10</v>
      </c>
      <c r="E65">
        <v>55782</v>
      </c>
      <c r="F65" t="s">
        <v>11</v>
      </c>
      <c r="G65">
        <v>145</v>
      </c>
      <c r="H65">
        <v>65.7</v>
      </c>
      <c r="I65">
        <v>2</v>
      </c>
    </row>
    <row r="66" spans="1:9" x14ac:dyDescent="0.35">
      <c r="A66" t="s">
        <v>14</v>
      </c>
      <c r="B66">
        <v>2016</v>
      </c>
      <c r="C66">
        <v>10800</v>
      </c>
      <c r="D66" t="s">
        <v>17</v>
      </c>
      <c r="E66">
        <v>26404</v>
      </c>
      <c r="F66" t="s">
        <v>13</v>
      </c>
      <c r="G66">
        <v>125</v>
      </c>
      <c r="H66">
        <v>53.3</v>
      </c>
      <c r="I66">
        <v>1.5</v>
      </c>
    </row>
    <row r="67" spans="1:9" x14ac:dyDescent="0.35">
      <c r="A67" t="s">
        <v>14</v>
      </c>
      <c r="B67">
        <v>2016</v>
      </c>
      <c r="C67">
        <v>13000</v>
      </c>
      <c r="D67" t="s">
        <v>17</v>
      </c>
      <c r="E67">
        <v>26631</v>
      </c>
      <c r="F67" t="s">
        <v>13</v>
      </c>
      <c r="G67">
        <v>125</v>
      </c>
      <c r="H67">
        <v>52.3</v>
      </c>
      <c r="I67">
        <v>1.5</v>
      </c>
    </row>
    <row r="68" spans="1:9" x14ac:dyDescent="0.35">
      <c r="A68" t="s">
        <v>14</v>
      </c>
      <c r="B68">
        <v>2016</v>
      </c>
      <c r="C68">
        <v>12500</v>
      </c>
      <c r="D68" t="s">
        <v>17</v>
      </c>
      <c r="E68">
        <v>24111</v>
      </c>
      <c r="F68" t="s">
        <v>13</v>
      </c>
      <c r="G68">
        <v>145</v>
      </c>
      <c r="H68">
        <v>47.1</v>
      </c>
      <c r="I68">
        <v>1.6</v>
      </c>
    </row>
    <row r="69" spans="1:9" x14ac:dyDescent="0.35">
      <c r="A69" t="s">
        <v>20</v>
      </c>
      <c r="B69">
        <v>2017</v>
      </c>
      <c r="C69">
        <v>13600</v>
      </c>
      <c r="D69" t="s">
        <v>17</v>
      </c>
      <c r="E69">
        <v>22763</v>
      </c>
      <c r="F69" t="s">
        <v>13</v>
      </c>
      <c r="G69">
        <v>145</v>
      </c>
      <c r="H69">
        <v>48.7</v>
      </c>
      <c r="I69">
        <v>2</v>
      </c>
    </row>
    <row r="70" spans="1:9" x14ac:dyDescent="0.35">
      <c r="A70" t="s">
        <v>20</v>
      </c>
      <c r="B70">
        <v>2016</v>
      </c>
      <c r="C70">
        <v>12700</v>
      </c>
      <c r="D70" t="s">
        <v>17</v>
      </c>
      <c r="E70">
        <v>17385</v>
      </c>
      <c r="F70" t="s">
        <v>11</v>
      </c>
      <c r="G70">
        <v>20</v>
      </c>
      <c r="H70">
        <v>72.400000000000006</v>
      </c>
      <c r="I70">
        <v>2</v>
      </c>
    </row>
    <row r="71" spans="1:9" x14ac:dyDescent="0.35">
      <c r="A71" t="s">
        <v>9</v>
      </c>
      <c r="B71">
        <v>2016</v>
      </c>
      <c r="C71">
        <v>15600</v>
      </c>
      <c r="D71" t="s">
        <v>10</v>
      </c>
      <c r="E71">
        <v>35474</v>
      </c>
      <c r="F71" t="s">
        <v>11</v>
      </c>
      <c r="G71">
        <v>125</v>
      </c>
      <c r="H71">
        <v>60.1</v>
      </c>
      <c r="I71">
        <v>2</v>
      </c>
    </row>
    <row r="72" spans="1:9" x14ac:dyDescent="0.35">
      <c r="A72" t="s">
        <v>18</v>
      </c>
      <c r="B72">
        <v>2016</v>
      </c>
      <c r="C72">
        <v>15250</v>
      </c>
      <c r="D72" t="s">
        <v>17</v>
      </c>
      <c r="E72">
        <v>16584</v>
      </c>
      <c r="F72" t="s">
        <v>11</v>
      </c>
      <c r="G72">
        <v>30</v>
      </c>
      <c r="H72">
        <v>62.8</v>
      </c>
      <c r="I72">
        <v>2</v>
      </c>
    </row>
    <row r="73" spans="1:9" x14ac:dyDescent="0.35">
      <c r="A73" t="s">
        <v>14</v>
      </c>
      <c r="B73">
        <v>2018</v>
      </c>
      <c r="C73">
        <v>11700</v>
      </c>
      <c r="D73" t="s">
        <v>17</v>
      </c>
      <c r="E73">
        <v>30273</v>
      </c>
      <c r="F73" t="s">
        <v>11</v>
      </c>
      <c r="G73">
        <v>145</v>
      </c>
      <c r="H73">
        <v>53.3</v>
      </c>
      <c r="I73">
        <v>1.5</v>
      </c>
    </row>
    <row r="74" spans="1:9" x14ac:dyDescent="0.35">
      <c r="A74" t="s">
        <v>16</v>
      </c>
      <c r="B74">
        <v>2017</v>
      </c>
      <c r="C74">
        <v>10900</v>
      </c>
      <c r="D74" t="s">
        <v>17</v>
      </c>
      <c r="E74">
        <v>62021</v>
      </c>
      <c r="F74" t="s">
        <v>11</v>
      </c>
      <c r="G74">
        <v>145</v>
      </c>
      <c r="H74">
        <v>65.7</v>
      </c>
      <c r="I74">
        <v>2</v>
      </c>
    </row>
    <row r="75" spans="1:9" x14ac:dyDescent="0.35">
      <c r="A75" t="s">
        <v>9</v>
      </c>
      <c r="B75">
        <v>2016</v>
      </c>
      <c r="C75">
        <v>14400</v>
      </c>
      <c r="D75" t="s">
        <v>10</v>
      </c>
      <c r="E75">
        <v>51552</v>
      </c>
      <c r="F75" t="s">
        <v>11</v>
      </c>
      <c r="G75">
        <v>30</v>
      </c>
      <c r="H75">
        <v>62.8</v>
      </c>
      <c r="I75">
        <v>2</v>
      </c>
    </row>
    <row r="76" spans="1:9" x14ac:dyDescent="0.35">
      <c r="A76" t="s">
        <v>14</v>
      </c>
      <c r="B76">
        <v>2016</v>
      </c>
      <c r="C76">
        <v>11100</v>
      </c>
      <c r="D76" t="s">
        <v>17</v>
      </c>
      <c r="E76">
        <v>29508</v>
      </c>
      <c r="F76" t="s">
        <v>13</v>
      </c>
      <c r="G76">
        <v>125</v>
      </c>
      <c r="H76">
        <v>53.3</v>
      </c>
      <c r="I76">
        <v>1.5</v>
      </c>
    </row>
    <row r="77" spans="1:9" x14ac:dyDescent="0.35">
      <c r="A77" t="s">
        <v>14</v>
      </c>
      <c r="B77">
        <v>2017</v>
      </c>
      <c r="C77">
        <v>11100</v>
      </c>
      <c r="D77" t="s">
        <v>17</v>
      </c>
      <c r="E77">
        <v>30865</v>
      </c>
      <c r="F77" t="s">
        <v>11</v>
      </c>
      <c r="G77">
        <v>145</v>
      </c>
      <c r="H77">
        <v>72.400000000000006</v>
      </c>
      <c r="I77">
        <v>1.5</v>
      </c>
    </row>
    <row r="78" spans="1:9" x14ac:dyDescent="0.35">
      <c r="A78" t="s">
        <v>9</v>
      </c>
      <c r="B78">
        <v>2014</v>
      </c>
      <c r="C78">
        <v>12400</v>
      </c>
      <c r="D78" t="s">
        <v>10</v>
      </c>
      <c r="E78">
        <v>46356</v>
      </c>
      <c r="F78" t="s">
        <v>11</v>
      </c>
      <c r="G78">
        <v>30</v>
      </c>
      <c r="H78">
        <v>62.8</v>
      </c>
      <c r="I78">
        <v>2</v>
      </c>
    </row>
    <row r="79" spans="1:9" x14ac:dyDescent="0.35">
      <c r="A79" t="s">
        <v>14</v>
      </c>
      <c r="B79">
        <v>2016</v>
      </c>
      <c r="C79">
        <v>12800</v>
      </c>
      <c r="D79" t="s">
        <v>17</v>
      </c>
      <c r="E79">
        <v>18343</v>
      </c>
      <c r="F79" t="s">
        <v>11</v>
      </c>
      <c r="G79">
        <v>20</v>
      </c>
      <c r="H79">
        <v>70.599999999999994</v>
      </c>
      <c r="I79">
        <v>1.5</v>
      </c>
    </row>
    <row r="80" spans="1:9" x14ac:dyDescent="0.35">
      <c r="A80" t="s">
        <v>9</v>
      </c>
      <c r="B80">
        <v>2014</v>
      </c>
      <c r="C80">
        <v>15000</v>
      </c>
      <c r="D80" t="s">
        <v>10</v>
      </c>
      <c r="E80">
        <v>13858</v>
      </c>
      <c r="F80" t="s">
        <v>11</v>
      </c>
      <c r="G80">
        <v>125</v>
      </c>
      <c r="H80">
        <v>57.6</v>
      </c>
      <c r="I80">
        <v>2</v>
      </c>
    </row>
    <row r="81" spans="1:9" x14ac:dyDescent="0.35">
      <c r="A81" t="s">
        <v>16</v>
      </c>
      <c r="B81">
        <v>2017</v>
      </c>
      <c r="C81">
        <v>12750</v>
      </c>
      <c r="D81" t="s">
        <v>17</v>
      </c>
      <c r="E81">
        <v>33752</v>
      </c>
      <c r="F81" t="s">
        <v>13</v>
      </c>
      <c r="G81">
        <v>125</v>
      </c>
      <c r="H81">
        <v>52.3</v>
      </c>
      <c r="I81">
        <v>1.5</v>
      </c>
    </row>
    <row r="82" spans="1:9" x14ac:dyDescent="0.35">
      <c r="A82" t="s">
        <v>19</v>
      </c>
      <c r="B82">
        <v>2016</v>
      </c>
      <c r="C82">
        <v>21750</v>
      </c>
      <c r="D82" t="s">
        <v>10</v>
      </c>
      <c r="E82">
        <v>19083</v>
      </c>
      <c r="F82" t="s">
        <v>11</v>
      </c>
      <c r="G82">
        <v>150</v>
      </c>
      <c r="H82">
        <v>54.3</v>
      </c>
      <c r="I82">
        <v>2</v>
      </c>
    </row>
    <row r="83" spans="1:9" x14ac:dyDescent="0.35">
      <c r="A83" t="s">
        <v>16</v>
      </c>
      <c r="B83">
        <v>2017</v>
      </c>
      <c r="C83">
        <v>13900</v>
      </c>
      <c r="D83" t="s">
        <v>10</v>
      </c>
      <c r="E83">
        <v>46281</v>
      </c>
      <c r="F83" t="s">
        <v>13</v>
      </c>
      <c r="G83">
        <v>125</v>
      </c>
      <c r="H83">
        <v>51.4</v>
      </c>
      <c r="I83">
        <v>1.5</v>
      </c>
    </row>
    <row r="84" spans="1:9" x14ac:dyDescent="0.35">
      <c r="A84" t="s">
        <v>25</v>
      </c>
      <c r="B84">
        <v>2017</v>
      </c>
      <c r="C84">
        <v>14000</v>
      </c>
      <c r="D84" t="s">
        <v>10</v>
      </c>
      <c r="E84">
        <v>54183</v>
      </c>
      <c r="F84" t="s">
        <v>11</v>
      </c>
      <c r="G84">
        <v>150</v>
      </c>
      <c r="H84">
        <v>65.7</v>
      </c>
      <c r="I84">
        <v>2</v>
      </c>
    </row>
    <row r="85" spans="1:9" x14ac:dyDescent="0.35">
      <c r="A85" t="s">
        <v>25</v>
      </c>
      <c r="B85">
        <v>2017</v>
      </c>
      <c r="C85">
        <v>15200</v>
      </c>
      <c r="D85" t="s">
        <v>10</v>
      </c>
      <c r="E85">
        <v>36701</v>
      </c>
      <c r="F85" t="s">
        <v>11</v>
      </c>
      <c r="G85">
        <v>30</v>
      </c>
      <c r="H85">
        <v>65.7</v>
      </c>
      <c r="I85">
        <v>2</v>
      </c>
    </row>
    <row r="86" spans="1:9" x14ac:dyDescent="0.35">
      <c r="A86" t="s">
        <v>20</v>
      </c>
      <c r="B86">
        <v>2017</v>
      </c>
      <c r="C86">
        <v>13500</v>
      </c>
      <c r="D86" t="s">
        <v>10</v>
      </c>
      <c r="E86">
        <v>48082</v>
      </c>
      <c r="F86" t="s">
        <v>13</v>
      </c>
      <c r="G86">
        <v>150</v>
      </c>
      <c r="H86">
        <v>51.4</v>
      </c>
      <c r="I86">
        <v>2</v>
      </c>
    </row>
    <row r="87" spans="1:9" x14ac:dyDescent="0.35">
      <c r="A87" t="s">
        <v>25</v>
      </c>
      <c r="B87">
        <v>2016</v>
      </c>
      <c r="C87">
        <v>12150</v>
      </c>
      <c r="D87" t="s">
        <v>17</v>
      </c>
      <c r="E87">
        <v>77482</v>
      </c>
      <c r="F87" t="s">
        <v>11</v>
      </c>
      <c r="G87">
        <v>20</v>
      </c>
      <c r="H87">
        <v>68.900000000000006</v>
      </c>
      <c r="I87">
        <v>2</v>
      </c>
    </row>
    <row r="88" spans="1:9" x14ac:dyDescent="0.35">
      <c r="A88" t="s">
        <v>16</v>
      </c>
      <c r="B88">
        <v>2017</v>
      </c>
      <c r="C88">
        <v>16000</v>
      </c>
      <c r="D88" t="s">
        <v>10</v>
      </c>
      <c r="E88">
        <v>32389</v>
      </c>
      <c r="F88" t="s">
        <v>21</v>
      </c>
      <c r="G88">
        <v>0</v>
      </c>
      <c r="H88">
        <v>141.19999999999999</v>
      </c>
      <c r="I88">
        <v>1.5</v>
      </c>
    </row>
    <row r="89" spans="1:9" x14ac:dyDescent="0.35">
      <c r="A89" t="s">
        <v>9</v>
      </c>
      <c r="B89">
        <v>2016</v>
      </c>
      <c r="C89">
        <v>14000</v>
      </c>
      <c r="D89" t="s">
        <v>10</v>
      </c>
      <c r="E89">
        <v>39235</v>
      </c>
      <c r="F89" t="s">
        <v>11</v>
      </c>
      <c r="G89">
        <v>30</v>
      </c>
      <c r="H89">
        <v>62.8</v>
      </c>
      <c r="I89">
        <v>2</v>
      </c>
    </row>
    <row r="90" spans="1:9" x14ac:dyDescent="0.35">
      <c r="A90" t="s">
        <v>20</v>
      </c>
      <c r="B90">
        <v>2018</v>
      </c>
      <c r="C90">
        <v>19490</v>
      </c>
      <c r="D90" t="s">
        <v>10</v>
      </c>
      <c r="E90">
        <v>30703</v>
      </c>
      <c r="F90" t="s">
        <v>11</v>
      </c>
      <c r="G90">
        <v>145</v>
      </c>
      <c r="H90">
        <v>57.6</v>
      </c>
      <c r="I90">
        <v>2</v>
      </c>
    </row>
    <row r="91" spans="1:9" x14ac:dyDescent="0.35">
      <c r="A91" t="s">
        <v>14</v>
      </c>
      <c r="B91">
        <v>2015</v>
      </c>
      <c r="C91">
        <v>15499</v>
      </c>
      <c r="D91" t="s">
        <v>26</v>
      </c>
      <c r="E91">
        <v>20000</v>
      </c>
      <c r="F91" t="s">
        <v>11</v>
      </c>
      <c r="G91">
        <v>125</v>
      </c>
      <c r="H91">
        <v>60.1</v>
      </c>
      <c r="I91">
        <v>2</v>
      </c>
    </row>
    <row r="92" spans="1:9" x14ac:dyDescent="0.35">
      <c r="A92" t="s">
        <v>16</v>
      </c>
      <c r="B92">
        <v>2017</v>
      </c>
      <c r="C92">
        <v>13000</v>
      </c>
      <c r="D92" t="s">
        <v>26</v>
      </c>
      <c r="E92">
        <v>34971</v>
      </c>
      <c r="F92" t="s">
        <v>11</v>
      </c>
      <c r="G92">
        <v>150</v>
      </c>
      <c r="H92">
        <v>72.400000000000006</v>
      </c>
      <c r="I92">
        <v>1.5</v>
      </c>
    </row>
    <row r="93" spans="1:9" x14ac:dyDescent="0.35">
      <c r="A93" t="s">
        <v>14</v>
      </c>
      <c r="B93">
        <v>2014</v>
      </c>
      <c r="C93">
        <v>10600</v>
      </c>
      <c r="D93" t="s">
        <v>26</v>
      </c>
      <c r="E93">
        <v>44900</v>
      </c>
      <c r="F93" t="s">
        <v>11</v>
      </c>
      <c r="G93">
        <v>30</v>
      </c>
      <c r="H93">
        <v>64.2</v>
      </c>
      <c r="I93">
        <v>2</v>
      </c>
    </row>
    <row r="94" spans="1:9" x14ac:dyDescent="0.35">
      <c r="A94" t="s">
        <v>19</v>
      </c>
      <c r="B94">
        <v>2017</v>
      </c>
      <c r="C94">
        <v>23000</v>
      </c>
      <c r="D94" t="s">
        <v>26</v>
      </c>
      <c r="E94">
        <v>16945</v>
      </c>
      <c r="F94" t="s">
        <v>11</v>
      </c>
      <c r="G94">
        <v>150</v>
      </c>
      <c r="H94">
        <v>54.3</v>
      </c>
      <c r="I94">
        <v>2</v>
      </c>
    </row>
    <row r="95" spans="1:9" x14ac:dyDescent="0.35">
      <c r="A95" t="s">
        <v>27</v>
      </c>
      <c r="B95">
        <v>2016</v>
      </c>
      <c r="C95">
        <v>29998</v>
      </c>
      <c r="D95" t="s">
        <v>26</v>
      </c>
      <c r="E95">
        <v>34209</v>
      </c>
      <c r="F95" t="s">
        <v>13</v>
      </c>
      <c r="G95">
        <v>300</v>
      </c>
      <c r="H95">
        <v>34</v>
      </c>
      <c r="I95">
        <v>3</v>
      </c>
    </row>
    <row r="96" spans="1:9" x14ac:dyDescent="0.35">
      <c r="A96" t="s">
        <v>14</v>
      </c>
      <c r="B96">
        <v>2017</v>
      </c>
      <c r="C96">
        <v>12498</v>
      </c>
      <c r="D96" t="s">
        <v>17</v>
      </c>
      <c r="E96">
        <v>14138</v>
      </c>
      <c r="F96" t="s">
        <v>11</v>
      </c>
      <c r="G96">
        <v>20</v>
      </c>
      <c r="H96">
        <v>72.400000000000006</v>
      </c>
      <c r="I96">
        <v>1.5</v>
      </c>
    </row>
    <row r="97" spans="1:9" x14ac:dyDescent="0.35">
      <c r="A97" t="s">
        <v>14</v>
      </c>
      <c r="B97">
        <v>2015</v>
      </c>
      <c r="C97">
        <v>7948</v>
      </c>
      <c r="D97" t="s">
        <v>17</v>
      </c>
      <c r="E97">
        <v>74375</v>
      </c>
      <c r="F97" t="s">
        <v>11</v>
      </c>
      <c r="G97">
        <v>30</v>
      </c>
      <c r="H97">
        <v>65.7</v>
      </c>
      <c r="I97">
        <v>2</v>
      </c>
    </row>
    <row r="98" spans="1:9" x14ac:dyDescent="0.35">
      <c r="A98" t="s">
        <v>25</v>
      </c>
      <c r="B98">
        <v>2017</v>
      </c>
      <c r="C98">
        <v>17800</v>
      </c>
      <c r="D98" t="s">
        <v>10</v>
      </c>
      <c r="E98">
        <v>31238</v>
      </c>
      <c r="F98" t="s">
        <v>11</v>
      </c>
      <c r="G98">
        <v>145</v>
      </c>
      <c r="H98">
        <v>55.4</v>
      </c>
      <c r="I98">
        <v>2</v>
      </c>
    </row>
    <row r="99" spans="1:9" x14ac:dyDescent="0.35">
      <c r="A99" t="s">
        <v>20</v>
      </c>
      <c r="B99">
        <v>2015</v>
      </c>
      <c r="C99">
        <v>13100</v>
      </c>
      <c r="D99" t="s">
        <v>17</v>
      </c>
      <c r="E99">
        <v>37204</v>
      </c>
      <c r="F99" t="s">
        <v>11</v>
      </c>
      <c r="G99">
        <v>30</v>
      </c>
      <c r="H99">
        <v>64.2</v>
      </c>
      <c r="I99">
        <v>2</v>
      </c>
    </row>
    <row r="100" spans="1:9" x14ac:dyDescent="0.35">
      <c r="A100" t="s">
        <v>14</v>
      </c>
      <c r="B100">
        <v>2017</v>
      </c>
      <c r="C100">
        <v>11400</v>
      </c>
      <c r="D100" t="s">
        <v>17</v>
      </c>
      <c r="E100">
        <v>26265</v>
      </c>
      <c r="F100" t="s">
        <v>11</v>
      </c>
      <c r="G100">
        <v>0</v>
      </c>
      <c r="H100">
        <v>83.1</v>
      </c>
      <c r="I100">
        <v>1.5</v>
      </c>
    </row>
    <row r="101" spans="1:9" x14ac:dyDescent="0.35">
      <c r="A101" t="s">
        <v>20</v>
      </c>
      <c r="B101">
        <v>2016</v>
      </c>
      <c r="C101">
        <v>14800</v>
      </c>
      <c r="D101" t="s">
        <v>10</v>
      </c>
      <c r="E101">
        <v>38838</v>
      </c>
      <c r="F101" t="s">
        <v>11</v>
      </c>
      <c r="G101">
        <v>125</v>
      </c>
      <c r="H101">
        <v>57.6</v>
      </c>
      <c r="I101">
        <v>2</v>
      </c>
    </row>
    <row r="102" spans="1:9" x14ac:dyDescent="0.35">
      <c r="A102" t="s">
        <v>19</v>
      </c>
      <c r="B102">
        <v>2016</v>
      </c>
      <c r="C102">
        <v>15900</v>
      </c>
      <c r="D102" t="s">
        <v>10</v>
      </c>
      <c r="E102">
        <v>59692</v>
      </c>
      <c r="F102" t="s">
        <v>11</v>
      </c>
      <c r="G102">
        <v>145</v>
      </c>
      <c r="H102">
        <v>54.3</v>
      </c>
      <c r="I102">
        <v>2</v>
      </c>
    </row>
    <row r="103" spans="1:9" x14ac:dyDescent="0.35">
      <c r="A103" t="s">
        <v>20</v>
      </c>
      <c r="B103">
        <v>2016</v>
      </c>
      <c r="C103">
        <v>16300</v>
      </c>
      <c r="D103" t="s">
        <v>10</v>
      </c>
      <c r="E103">
        <v>34623</v>
      </c>
      <c r="F103" t="s">
        <v>11</v>
      </c>
      <c r="G103">
        <v>125</v>
      </c>
      <c r="H103">
        <v>57.6</v>
      </c>
      <c r="I103">
        <v>2</v>
      </c>
    </row>
    <row r="104" spans="1:9" x14ac:dyDescent="0.35">
      <c r="A104" t="s">
        <v>20</v>
      </c>
      <c r="B104">
        <v>2017</v>
      </c>
      <c r="C104">
        <v>14800</v>
      </c>
      <c r="D104" t="s">
        <v>17</v>
      </c>
      <c r="E104">
        <v>29968</v>
      </c>
      <c r="F104" t="s">
        <v>11</v>
      </c>
      <c r="G104">
        <v>30</v>
      </c>
      <c r="H104">
        <v>64.2</v>
      </c>
      <c r="I104">
        <v>2</v>
      </c>
    </row>
    <row r="105" spans="1:9" x14ac:dyDescent="0.35">
      <c r="A105" t="s">
        <v>20</v>
      </c>
      <c r="B105">
        <v>2017</v>
      </c>
      <c r="C105">
        <v>19700</v>
      </c>
      <c r="D105" t="s">
        <v>10</v>
      </c>
      <c r="E105">
        <v>27748</v>
      </c>
      <c r="F105" t="s">
        <v>11</v>
      </c>
      <c r="G105">
        <v>200</v>
      </c>
      <c r="H105">
        <v>49.6</v>
      </c>
      <c r="I105">
        <v>3</v>
      </c>
    </row>
    <row r="106" spans="1:9" x14ac:dyDescent="0.35">
      <c r="A106" t="s">
        <v>20</v>
      </c>
      <c r="B106">
        <v>2015</v>
      </c>
      <c r="C106">
        <v>14450</v>
      </c>
      <c r="D106" t="s">
        <v>10</v>
      </c>
      <c r="E106">
        <v>47288</v>
      </c>
      <c r="F106" t="s">
        <v>11</v>
      </c>
      <c r="G106">
        <v>30</v>
      </c>
      <c r="H106">
        <v>62.8</v>
      </c>
      <c r="I106">
        <v>2</v>
      </c>
    </row>
    <row r="107" spans="1:9" x14ac:dyDescent="0.35">
      <c r="A107" t="s">
        <v>9</v>
      </c>
      <c r="B107">
        <v>2016</v>
      </c>
      <c r="C107">
        <v>13500</v>
      </c>
      <c r="D107" t="s">
        <v>10</v>
      </c>
      <c r="E107">
        <v>64117</v>
      </c>
      <c r="F107" t="s">
        <v>11</v>
      </c>
      <c r="G107">
        <v>30</v>
      </c>
      <c r="H107">
        <v>65.7</v>
      </c>
      <c r="I107">
        <v>2</v>
      </c>
    </row>
    <row r="108" spans="1:9" x14ac:dyDescent="0.35">
      <c r="A108" t="s">
        <v>9</v>
      </c>
      <c r="B108">
        <v>2015</v>
      </c>
      <c r="C108">
        <v>10900</v>
      </c>
      <c r="D108" t="s">
        <v>10</v>
      </c>
      <c r="E108">
        <v>79563</v>
      </c>
      <c r="F108" t="s">
        <v>11</v>
      </c>
      <c r="G108">
        <v>125</v>
      </c>
      <c r="H108">
        <v>60.1</v>
      </c>
      <c r="I108">
        <v>2</v>
      </c>
    </row>
    <row r="109" spans="1:9" x14ac:dyDescent="0.35">
      <c r="A109" t="s">
        <v>20</v>
      </c>
      <c r="B109">
        <v>2016</v>
      </c>
      <c r="C109">
        <v>12200</v>
      </c>
      <c r="D109" t="s">
        <v>17</v>
      </c>
      <c r="E109">
        <v>34842</v>
      </c>
      <c r="F109" t="s">
        <v>11</v>
      </c>
      <c r="G109">
        <v>30</v>
      </c>
      <c r="H109">
        <v>67.3</v>
      </c>
      <c r="I109">
        <v>2</v>
      </c>
    </row>
    <row r="110" spans="1:9" x14ac:dyDescent="0.35">
      <c r="A110" t="s">
        <v>16</v>
      </c>
      <c r="B110">
        <v>2016</v>
      </c>
      <c r="C110">
        <v>10600</v>
      </c>
      <c r="D110" t="s">
        <v>17</v>
      </c>
      <c r="E110">
        <v>24313</v>
      </c>
      <c r="F110" t="s">
        <v>11</v>
      </c>
      <c r="G110">
        <v>0</v>
      </c>
      <c r="H110">
        <v>74.3</v>
      </c>
      <c r="I110">
        <v>1.5</v>
      </c>
    </row>
    <row r="111" spans="1:9" x14ac:dyDescent="0.35">
      <c r="A111" t="s">
        <v>16</v>
      </c>
      <c r="B111">
        <v>2015</v>
      </c>
      <c r="C111">
        <v>9100</v>
      </c>
      <c r="D111" t="s">
        <v>17</v>
      </c>
      <c r="E111">
        <v>40789</v>
      </c>
      <c r="F111" t="s">
        <v>11</v>
      </c>
      <c r="G111">
        <v>0</v>
      </c>
      <c r="H111">
        <v>74.3</v>
      </c>
      <c r="I111">
        <v>1.5</v>
      </c>
    </row>
    <row r="112" spans="1:9" x14ac:dyDescent="0.35">
      <c r="A112" t="s">
        <v>20</v>
      </c>
      <c r="B112">
        <v>2017</v>
      </c>
      <c r="C112">
        <v>12600</v>
      </c>
      <c r="D112" t="s">
        <v>10</v>
      </c>
      <c r="E112">
        <v>66743</v>
      </c>
      <c r="F112" t="s">
        <v>11</v>
      </c>
      <c r="G112">
        <v>30</v>
      </c>
      <c r="H112">
        <v>67.3</v>
      </c>
      <c r="I112">
        <v>2</v>
      </c>
    </row>
    <row r="113" spans="1:9" x14ac:dyDescent="0.35">
      <c r="A113" t="s">
        <v>9</v>
      </c>
      <c r="B113">
        <v>2016</v>
      </c>
      <c r="C113">
        <v>13600</v>
      </c>
      <c r="D113" t="s">
        <v>10</v>
      </c>
      <c r="E113">
        <v>65612</v>
      </c>
      <c r="F113" t="s">
        <v>11</v>
      </c>
      <c r="G113">
        <v>30</v>
      </c>
      <c r="H113">
        <v>62.8</v>
      </c>
      <c r="I113">
        <v>2</v>
      </c>
    </row>
    <row r="114" spans="1:9" x14ac:dyDescent="0.35">
      <c r="A114" t="s">
        <v>14</v>
      </c>
      <c r="B114">
        <v>2016</v>
      </c>
      <c r="C114">
        <v>11700</v>
      </c>
      <c r="D114" t="s">
        <v>17</v>
      </c>
      <c r="E114">
        <v>21390</v>
      </c>
      <c r="F114" t="s">
        <v>11</v>
      </c>
      <c r="G114">
        <v>20</v>
      </c>
      <c r="H114">
        <v>72.400000000000006</v>
      </c>
      <c r="I114">
        <v>1.5</v>
      </c>
    </row>
    <row r="115" spans="1:9" x14ac:dyDescent="0.35">
      <c r="A115" t="s">
        <v>20</v>
      </c>
      <c r="B115">
        <v>2017</v>
      </c>
      <c r="C115">
        <v>12450</v>
      </c>
      <c r="D115" t="s">
        <v>10</v>
      </c>
      <c r="E115">
        <v>72065</v>
      </c>
      <c r="F115" t="s">
        <v>11</v>
      </c>
      <c r="G115">
        <v>20</v>
      </c>
      <c r="H115">
        <v>70.599999999999994</v>
      </c>
      <c r="I115">
        <v>2</v>
      </c>
    </row>
    <row r="116" spans="1:9" x14ac:dyDescent="0.35">
      <c r="A116" t="s">
        <v>9</v>
      </c>
      <c r="B116">
        <v>2016</v>
      </c>
      <c r="C116">
        <v>13500</v>
      </c>
      <c r="D116" t="s">
        <v>10</v>
      </c>
      <c r="E116">
        <v>62444</v>
      </c>
      <c r="F116" t="s">
        <v>11</v>
      </c>
      <c r="G116">
        <v>125</v>
      </c>
      <c r="H116">
        <v>60.1</v>
      </c>
      <c r="I116">
        <v>2</v>
      </c>
    </row>
    <row r="117" spans="1:9" x14ac:dyDescent="0.35">
      <c r="A117" t="s">
        <v>19</v>
      </c>
      <c r="B117">
        <v>2013</v>
      </c>
      <c r="C117">
        <v>12750</v>
      </c>
      <c r="D117" t="s">
        <v>10</v>
      </c>
      <c r="E117">
        <v>71558</v>
      </c>
      <c r="F117" t="s">
        <v>11</v>
      </c>
      <c r="G117">
        <v>160</v>
      </c>
      <c r="H117">
        <v>50.4</v>
      </c>
      <c r="I117">
        <v>2</v>
      </c>
    </row>
    <row r="118" spans="1:9" x14ac:dyDescent="0.35">
      <c r="A118" t="s">
        <v>25</v>
      </c>
      <c r="B118">
        <v>2017</v>
      </c>
      <c r="C118">
        <v>16700</v>
      </c>
      <c r="D118" t="s">
        <v>10</v>
      </c>
      <c r="E118">
        <v>34666</v>
      </c>
      <c r="F118" t="s">
        <v>11</v>
      </c>
      <c r="G118">
        <v>145</v>
      </c>
      <c r="H118">
        <v>65.7</v>
      </c>
      <c r="I118">
        <v>2</v>
      </c>
    </row>
    <row r="119" spans="1:9" x14ac:dyDescent="0.35">
      <c r="A119" t="s">
        <v>14</v>
      </c>
      <c r="B119">
        <v>2016</v>
      </c>
      <c r="C119">
        <v>11400</v>
      </c>
      <c r="D119" t="s">
        <v>17</v>
      </c>
      <c r="E119">
        <v>22920</v>
      </c>
      <c r="F119" t="s">
        <v>11</v>
      </c>
      <c r="G119">
        <v>20</v>
      </c>
      <c r="H119">
        <v>72.400000000000006</v>
      </c>
      <c r="I119">
        <v>1.5</v>
      </c>
    </row>
    <row r="120" spans="1:9" x14ac:dyDescent="0.35">
      <c r="A120" t="s">
        <v>22</v>
      </c>
      <c r="B120">
        <v>2016</v>
      </c>
      <c r="C120">
        <v>21000</v>
      </c>
      <c r="D120" t="s">
        <v>10</v>
      </c>
      <c r="E120">
        <v>71626</v>
      </c>
      <c r="F120" t="s">
        <v>21</v>
      </c>
      <c r="G120">
        <v>0</v>
      </c>
      <c r="H120">
        <v>85.6</v>
      </c>
      <c r="I120">
        <v>2</v>
      </c>
    </row>
    <row r="121" spans="1:9" x14ac:dyDescent="0.35">
      <c r="A121" t="s">
        <v>25</v>
      </c>
      <c r="B121">
        <v>2017</v>
      </c>
      <c r="C121">
        <v>14700</v>
      </c>
      <c r="D121" t="s">
        <v>17</v>
      </c>
      <c r="E121">
        <v>38405</v>
      </c>
      <c r="F121" t="s">
        <v>11</v>
      </c>
      <c r="G121">
        <v>145</v>
      </c>
      <c r="H121">
        <v>68.900000000000006</v>
      </c>
      <c r="I121">
        <v>2</v>
      </c>
    </row>
    <row r="122" spans="1:9" x14ac:dyDescent="0.35">
      <c r="A122" t="s">
        <v>20</v>
      </c>
      <c r="B122">
        <v>2018</v>
      </c>
      <c r="C122">
        <v>19000</v>
      </c>
      <c r="D122" t="s">
        <v>10</v>
      </c>
      <c r="E122">
        <v>20681</v>
      </c>
      <c r="F122" t="s">
        <v>11</v>
      </c>
      <c r="G122">
        <v>145</v>
      </c>
      <c r="H122">
        <v>64.2</v>
      </c>
      <c r="I122">
        <v>2</v>
      </c>
    </row>
    <row r="123" spans="1:9" x14ac:dyDescent="0.35">
      <c r="A123" t="s">
        <v>20</v>
      </c>
      <c r="B123">
        <v>2017</v>
      </c>
      <c r="C123">
        <v>15400</v>
      </c>
      <c r="D123" t="s">
        <v>10</v>
      </c>
      <c r="E123">
        <v>20529</v>
      </c>
      <c r="F123" t="s">
        <v>11</v>
      </c>
      <c r="G123">
        <v>145</v>
      </c>
      <c r="H123">
        <v>65.7</v>
      </c>
      <c r="I123">
        <v>2</v>
      </c>
    </row>
    <row r="124" spans="1:9" x14ac:dyDescent="0.35">
      <c r="A124" t="s">
        <v>19</v>
      </c>
      <c r="B124">
        <v>2016</v>
      </c>
      <c r="C124">
        <v>19000</v>
      </c>
      <c r="D124" t="s">
        <v>10</v>
      </c>
      <c r="E124">
        <v>42691</v>
      </c>
      <c r="F124" t="s">
        <v>11</v>
      </c>
      <c r="G124">
        <v>145</v>
      </c>
      <c r="H124">
        <v>54.3</v>
      </c>
      <c r="I124">
        <v>2</v>
      </c>
    </row>
    <row r="125" spans="1:9" x14ac:dyDescent="0.35">
      <c r="A125" t="s">
        <v>14</v>
      </c>
      <c r="B125">
        <v>2018</v>
      </c>
      <c r="C125">
        <v>15000</v>
      </c>
      <c r="D125" t="s">
        <v>10</v>
      </c>
      <c r="E125">
        <v>10058</v>
      </c>
      <c r="F125" t="s">
        <v>13</v>
      </c>
      <c r="G125">
        <v>145</v>
      </c>
      <c r="H125">
        <v>37.200000000000003</v>
      </c>
      <c r="I125">
        <v>1.5</v>
      </c>
    </row>
    <row r="126" spans="1:9" x14ac:dyDescent="0.35">
      <c r="A126" t="s">
        <v>20</v>
      </c>
      <c r="B126">
        <v>2016</v>
      </c>
      <c r="C126">
        <v>17950</v>
      </c>
      <c r="D126" t="s">
        <v>10</v>
      </c>
      <c r="E126">
        <v>40337</v>
      </c>
      <c r="F126" t="s">
        <v>11</v>
      </c>
      <c r="G126">
        <v>145</v>
      </c>
      <c r="H126">
        <v>53.3</v>
      </c>
      <c r="I126">
        <v>3</v>
      </c>
    </row>
    <row r="127" spans="1:9" x14ac:dyDescent="0.35">
      <c r="A127" t="s">
        <v>9</v>
      </c>
      <c r="B127">
        <v>2018</v>
      </c>
      <c r="C127">
        <v>22600</v>
      </c>
      <c r="D127" t="s">
        <v>10</v>
      </c>
      <c r="E127">
        <v>23195</v>
      </c>
      <c r="F127" t="s">
        <v>11</v>
      </c>
      <c r="G127">
        <v>145</v>
      </c>
      <c r="H127">
        <v>65.7</v>
      </c>
      <c r="I127">
        <v>2</v>
      </c>
    </row>
    <row r="128" spans="1:9" x14ac:dyDescent="0.35">
      <c r="A128" t="s">
        <v>14</v>
      </c>
      <c r="B128">
        <v>2017</v>
      </c>
      <c r="C128">
        <v>13200</v>
      </c>
      <c r="D128" t="s">
        <v>17</v>
      </c>
      <c r="E128">
        <v>17117</v>
      </c>
      <c r="F128" t="s">
        <v>13</v>
      </c>
      <c r="G128">
        <v>145</v>
      </c>
      <c r="H128">
        <v>53.3</v>
      </c>
      <c r="I128">
        <v>1.5</v>
      </c>
    </row>
    <row r="129" spans="1:9" x14ac:dyDescent="0.35">
      <c r="A129" t="s">
        <v>20</v>
      </c>
      <c r="B129">
        <v>2017</v>
      </c>
      <c r="C129">
        <v>12750</v>
      </c>
      <c r="D129" t="s">
        <v>17</v>
      </c>
      <c r="E129">
        <v>22153</v>
      </c>
      <c r="F129" t="s">
        <v>11</v>
      </c>
      <c r="G129">
        <v>150</v>
      </c>
      <c r="H129">
        <v>68.900000000000006</v>
      </c>
      <c r="I129">
        <v>2</v>
      </c>
    </row>
    <row r="130" spans="1:9" x14ac:dyDescent="0.35">
      <c r="A130" t="s">
        <v>20</v>
      </c>
      <c r="B130">
        <v>2015</v>
      </c>
      <c r="C130">
        <v>9750</v>
      </c>
      <c r="D130" t="s">
        <v>17</v>
      </c>
      <c r="E130">
        <v>56038</v>
      </c>
      <c r="F130" t="s">
        <v>11</v>
      </c>
      <c r="G130">
        <v>20</v>
      </c>
      <c r="H130">
        <v>68.900000000000006</v>
      </c>
      <c r="I130">
        <v>2</v>
      </c>
    </row>
    <row r="131" spans="1:9" x14ac:dyDescent="0.35">
      <c r="A131" t="s">
        <v>20</v>
      </c>
      <c r="B131">
        <v>2017</v>
      </c>
      <c r="C131">
        <v>10900</v>
      </c>
      <c r="D131" t="s">
        <v>10</v>
      </c>
      <c r="E131">
        <v>78345</v>
      </c>
      <c r="F131" t="s">
        <v>11</v>
      </c>
      <c r="G131">
        <v>0</v>
      </c>
      <c r="H131">
        <v>74.3</v>
      </c>
      <c r="I131">
        <v>2</v>
      </c>
    </row>
    <row r="132" spans="1:9" x14ac:dyDescent="0.35">
      <c r="A132" t="s">
        <v>23</v>
      </c>
      <c r="B132">
        <v>2016</v>
      </c>
      <c r="C132">
        <v>21400</v>
      </c>
      <c r="D132" t="s">
        <v>10</v>
      </c>
      <c r="E132">
        <v>31084</v>
      </c>
      <c r="F132" t="s">
        <v>11</v>
      </c>
      <c r="G132">
        <v>145</v>
      </c>
      <c r="H132">
        <v>54.3</v>
      </c>
      <c r="I132">
        <v>2</v>
      </c>
    </row>
    <row r="133" spans="1:9" x14ac:dyDescent="0.35">
      <c r="A133" t="s">
        <v>14</v>
      </c>
      <c r="B133">
        <v>2017</v>
      </c>
      <c r="C133">
        <v>14600</v>
      </c>
      <c r="D133" t="s">
        <v>10</v>
      </c>
      <c r="E133">
        <v>5615</v>
      </c>
      <c r="F133" t="s">
        <v>13</v>
      </c>
      <c r="G133">
        <v>145</v>
      </c>
      <c r="H133">
        <v>58.9</v>
      </c>
      <c r="I133">
        <v>1.5</v>
      </c>
    </row>
    <row r="134" spans="1:9" x14ac:dyDescent="0.35">
      <c r="A134" t="s">
        <v>20</v>
      </c>
      <c r="B134">
        <v>2017</v>
      </c>
      <c r="C134">
        <v>12600</v>
      </c>
      <c r="D134" t="s">
        <v>10</v>
      </c>
      <c r="E134">
        <v>55751</v>
      </c>
      <c r="F134" t="s">
        <v>13</v>
      </c>
      <c r="G134">
        <v>150</v>
      </c>
      <c r="H134">
        <v>51.4</v>
      </c>
      <c r="I134">
        <v>1.5</v>
      </c>
    </row>
    <row r="135" spans="1:9" x14ac:dyDescent="0.35">
      <c r="A135" t="s">
        <v>23</v>
      </c>
      <c r="B135">
        <v>2017</v>
      </c>
      <c r="C135">
        <v>22500</v>
      </c>
      <c r="D135" t="s">
        <v>10</v>
      </c>
      <c r="E135">
        <v>35016</v>
      </c>
      <c r="F135" t="s">
        <v>11</v>
      </c>
      <c r="G135">
        <v>150</v>
      </c>
      <c r="H135">
        <v>54.3</v>
      </c>
      <c r="I135">
        <v>2</v>
      </c>
    </row>
    <row r="136" spans="1:9" x14ac:dyDescent="0.35">
      <c r="A136" t="s">
        <v>14</v>
      </c>
      <c r="B136">
        <v>2016</v>
      </c>
      <c r="C136">
        <v>8000</v>
      </c>
      <c r="D136" t="s">
        <v>17</v>
      </c>
      <c r="E136">
        <v>81579</v>
      </c>
      <c r="F136" t="s">
        <v>11</v>
      </c>
      <c r="G136">
        <v>0</v>
      </c>
      <c r="H136">
        <v>83.1</v>
      </c>
      <c r="I136">
        <v>1.5</v>
      </c>
    </row>
    <row r="137" spans="1:9" x14ac:dyDescent="0.35">
      <c r="A137" t="s">
        <v>25</v>
      </c>
      <c r="B137">
        <v>2017</v>
      </c>
      <c r="C137">
        <v>14800</v>
      </c>
      <c r="D137" t="s">
        <v>17</v>
      </c>
      <c r="E137">
        <v>31518</v>
      </c>
      <c r="F137" t="s">
        <v>11</v>
      </c>
      <c r="G137">
        <v>145</v>
      </c>
      <c r="H137">
        <v>60.1</v>
      </c>
      <c r="I137">
        <v>2</v>
      </c>
    </row>
    <row r="138" spans="1:9" x14ac:dyDescent="0.35">
      <c r="A138" t="s">
        <v>14</v>
      </c>
      <c r="B138">
        <v>2016</v>
      </c>
      <c r="C138">
        <v>9900</v>
      </c>
      <c r="D138" t="s">
        <v>17</v>
      </c>
      <c r="E138">
        <v>44008</v>
      </c>
      <c r="F138" t="s">
        <v>11</v>
      </c>
      <c r="G138">
        <v>0</v>
      </c>
      <c r="H138">
        <v>83.1</v>
      </c>
      <c r="I138">
        <v>1.5</v>
      </c>
    </row>
    <row r="139" spans="1:9" x14ac:dyDescent="0.35">
      <c r="A139" t="s">
        <v>16</v>
      </c>
      <c r="B139">
        <v>2016</v>
      </c>
      <c r="C139">
        <v>9500</v>
      </c>
      <c r="D139" t="s">
        <v>17</v>
      </c>
      <c r="E139">
        <v>59509</v>
      </c>
      <c r="F139" t="s">
        <v>11</v>
      </c>
      <c r="G139">
        <v>20</v>
      </c>
      <c r="H139">
        <v>68.900000000000006</v>
      </c>
      <c r="I139">
        <v>2</v>
      </c>
    </row>
    <row r="140" spans="1:9" x14ac:dyDescent="0.35">
      <c r="A140" t="s">
        <v>20</v>
      </c>
      <c r="B140">
        <v>2017</v>
      </c>
      <c r="C140">
        <v>17950</v>
      </c>
      <c r="D140" t="s">
        <v>10</v>
      </c>
      <c r="E140">
        <v>43703</v>
      </c>
      <c r="F140" t="s">
        <v>21</v>
      </c>
      <c r="G140">
        <v>140</v>
      </c>
      <c r="H140">
        <v>134.5</v>
      </c>
      <c r="I140">
        <v>2</v>
      </c>
    </row>
    <row r="141" spans="1:9" x14ac:dyDescent="0.35">
      <c r="A141" t="s">
        <v>14</v>
      </c>
      <c r="B141">
        <v>2016</v>
      </c>
      <c r="C141">
        <v>14200</v>
      </c>
      <c r="D141" t="s">
        <v>10</v>
      </c>
      <c r="E141">
        <v>36858</v>
      </c>
      <c r="F141" t="s">
        <v>11</v>
      </c>
      <c r="G141">
        <v>125</v>
      </c>
      <c r="H141">
        <v>60.1</v>
      </c>
      <c r="I141">
        <v>2</v>
      </c>
    </row>
    <row r="142" spans="1:9" x14ac:dyDescent="0.35">
      <c r="A142" t="s">
        <v>14</v>
      </c>
      <c r="B142">
        <v>2016</v>
      </c>
      <c r="C142">
        <v>12100</v>
      </c>
      <c r="D142" t="s">
        <v>10</v>
      </c>
      <c r="E142">
        <v>25786</v>
      </c>
      <c r="F142" t="s">
        <v>11</v>
      </c>
      <c r="G142">
        <v>0</v>
      </c>
      <c r="H142">
        <v>74.3</v>
      </c>
      <c r="I142">
        <v>2</v>
      </c>
    </row>
    <row r="143" spans="1:9" x14ac:dyDescent="0.35">
      <c r="A143" t="s">
        <v>14</v>
      </c>
      <c r="B143">
        <v>2016</v>
      </c>
      <c r="C143">
        <v>12700</v>
      </c>
      <c r="D143" t="s">
        <v>10</v>
      </c>
      <c r="E143">
        <v>24592</v>
      </c>
      <c r="F143" t="s">
        <v>11</v>
      </c>
      <c r="G143">
        <v>20</v>
      </c>
      <c r="H143">
        <v>68.900000000000006</v>
      </c>
      <c r="I143">
        <v>2</v>
      </c>
    </row>
    <row r="144" spans="1:9" x14ac:dyDescent="0.35">
      <c r="A144" t="s">
        <v>14</v>
      </c>
      <c r="B144">
        <v>2016</v>
      </c>
      <c r="C144">
        <v>8800</v>
      </c>
      <c r="D144" t="s">
        <v>17</v>
      </c>
      <c r="E144">
        <v>51002</v>
      </c>
      <c r="F144" t="s">
        <v>11</v>
      </c>
      <c r="G144">
        <v>0</v>
      </c>
      <c r="H144">
        <v>83.1</v>
      </c>
      <c r="I144">
        <v>1.5</v>
      </c>
    </row>
    <row r="145" spans="1:9" x14ac:dyDescent="0.35">
      <c r="A145" t="s">
        <v>14</v>
      </c>
      <c r="B145">
        <v>2017</v>
      </c>
      <c r="C145">
        <v>15000</v>
      </c>
      <c r="D145" t="s">
        <v>10</v>
      </c>
      <c r="E145">
        <v>26052</v>
      </c>
      <c r="F145" t="s">
        <v>11</v>
      </c>
      <c r="G145">
        <v>145</v>
      </c>
      <c r="H145">
        <v>68.900000000000006</v>
      </c>
      <c r="I145">
        <v>2</v>
      </c>
    </row>
    <row r="146" spans="1:9" x14ac:dyDescent="0.35">
      <c r="A146" t="s">
        <v>20</v>
      </c>
      <c r="B146">
        <v>2017</v>
      </c>
      <c r="C146">
        <v>17100</v>
      </c>
      <c r="D146" t="s">
        <v>10</v>
      </c>
      <c r="E146">
        <v>31528</v>
      </c>
      <c r="F146" t="s">
        <v>11</v>
      </c>
      <c r="G146">
        <v>145</v>
      </c>
      <c r="H146">
        <v>64.2</v>
      </c>
      <c r="I146">
        <v>2</v>
      </c>
    </row>
    <row r="147" spans="1:9" x14ac:dyDescent="0.35">
      <c r="A147" t="s">
        <v>19</v>
      </c>
      <c r="B147">
        <v>2017</v>
      </c>
      <c r="C147">
        <v>21750</v>
      </c>
      <c r="D147" t="s">
        <v>10</v>
      </c>
      <c r="E147">
        <v>25776</v>
      </c>
      <c r="F147" t="s">
        <v>11</v>
      </c>
      <c r="G147">
        <v>200</v>
      </c>
      <c r="H147">
        <v>47.9</v>
      </c>
      <c r="I147">
        <v>3</v>
      </c>
    </row>
    <row r="148" spans="1:9" x14ac:dyDescent="0.35">
      <c r="A148" t="s">
        <v>14</v>
      </c>
      <c r="B148">
        <v>2016</v>
      </c>
      <c r="C148">
        <v>13400</v>
      </c>
      <c r="D148" t="s">
        <v>17</v>
      </c>
      <c r="E148">
        <v>18055</v>
      </c>
      <c r="F148" t="s">
        <v>13</v>
      </c>
      <c r="G148">
        <v>125</v>
      </c>
      <c r="H148">
        <v>52.3</v>
      </c>
      <c r="I148">
        <v>1.5</v>
      </c>
    </row>
    <row r="149" spans="1:9" x14ac:dyDescent="0.35">
      <c r="A149" t="s">
        <v>20</v>
      </c>
      <c r="B149">
        <v>2014</v>
      </c>
      <c r="C149">
        <v>9900</v>
      </c>
      <c r="D149" t="s">
        <v>10</v>
      </c>
      <c r="E149">
        <v>63223</v>
      </c>
      <c r="F149" t="s">
        <v>11</v>
      </c>
      <c r="G149">
        <v>20</v>
      </c>
      <c r="H149">
        <v>68.900000000000006</v>
      </c>
      <c r="I149">
        <v>2</v>
      </c>
    </row>
    <row r="150" spans="1:9" x14ac:dyDescent="0.35">
      <c r="A150" t="s">
        <v>14</v>
      </c>
      <c r="B150">
        <v>2016</v>
      </c>
      <c r="C150">
        <v>13700</v>
      </c>
      <c r="D150" t="s">
        <v>17</v>
      </c>
      <c r="E150">
        <v>8719</v>
      </c>
      <c r="F150" t="s">
        <v>13</v>
      </c>
      <c r="G150">
        <v>125</v>
      </c>
      <c r="H150">
        <v>52.3</v>
      </c>
      <c r="I150">
        <v>1.5</v>
      </c>
    </row>
    <row r="151" spans="1:9" x14ac:dyDescent="0.35">
      <c r="A151" t="s">
        <v>18</v>
      </c>
      <c r="B151">
        <v>2018</v>
      </c>
      <c r="C151">
        <v>16900</v>
      </c>
      <c r="D151" t="s">
        <v>10</v>
      </c>
      <c r="E151">
        <v>27133</v>
      </c>
      <c r="F151" t="s">
        <v>13</v>
      </c>
      <c r="G151">
        <v>145</v>
      </c>
      <c r="H151">
        <v>44.8</v>
      </c>
      <c r="I151">
        <v>2</v>
      </c>
    </row>
    <row r="152" spans="1:9" x14ac:dyDescent="0.35">
      <c r="A152" t="s">
        <v>9</v>
      </c>
      <c r="B152">
        <v>2018</v>
      </c>
      <c r="C152">
        <v>21950</v>
      </c>
      <c r="D152" t="s">
        <v>10</v>
      </c>
      <c r="E152">
        <v>21947</v>
      </c>
      <c r="F152" t="s">
        <v>11</v>
      </c>
      <c r="G152">
        <v>150</v>
      </c>
      <c r="H152">
        <v>68.900000000000006</v>
      </c>
      <c r="I152">
        <v>2</v>
      </c>
    </row>
    <row r="153" spans="1:9" x14ac:dyDescent="0.35">
      <c r="A153" t="s">
        <v>25</v>
      </c>
      <c r="B153">
        <v>2013</v>
      </c>
      <c r="C153">
        <v>8750</v>
      </c>
      <c r="D153" t="s">
        <v>17</v>
      </c>
      <c r="E153">
        <v>80625</v>
      </c>
      <c r="F153" t="s">
        <v>11</v>
      </c>
      <c r="G153">
        <v>160</v>
      </c>
      <c r="H153">
        <v>51.4</v>
      </c>
      <c r="I153">
        <v>2</v>
      </c>
    </row>
    <row r="154" spans="1:9" x14ac:dyDescent="0.35">
      <c r="A154" t="s">
        <v>20</v>
      </c>
      <c r="B154">
        <v>2017</v>
      </c>
      <c r="C154">
        <v>17000</v>
      </c>
      <c r="D154" t="s">
        <v>10</v>
      </c>
      <c r="E154">
        <v>31501</v>
      </c>
      <c r="F154" t="s">
        <v>21</v>
      </c>
      <c r="G154">
        <v>0</v>
      </c>
      <c r="H154">
        <v>134.5</v>
      </c>
      <c r="I154">
        <v>2</v>
      </c>
    </row>
    <row r="155" spans="1:9" x14ac:dyDescent="0.35">
      <c r="A155" t="s">
        <v>14</v>
      </c>
      <c r="B155">
        <v>2016</v>
      </c>
      <c r="C155">
        <v>13750</v>
      </c>
      <c r="D155" t="s">
        <v>10</v>
      </c>
      <c r="E155">
        <v>8707</v>
      </c>
      <c r="F155" t="s">
        <v>13</v>
      </c>
      <c r="G155">
        <v>30</v>
      </c>
      <c r="H155">
        <v>55.5</v>
      </c>
      <c r="I155">
        <v>1.5</v>
      </c>
    </row>
    <row r="156" spans="1:9" x14ac:dyDescent="0.35">
      <c r="A156" t="s">
        <v>14</v>
      </c>
      <c r="B156">
        <v>2017</v>
      </c>
      <c r="C156">
        <v>12800</v>
      </c>
      <c r="D156" t="s">
        <v>17</v>
      </c>
      <c r="E156">
        <v>10861</v>
      </c>
      <c r="F156" t="s">
        <v>13</v>
      </c>
      <c r="G156">
        <v>125</v>
      </c>
      <c r="H156">
        <v>53.3</v>
      </c>
      <c r="I156">
        <v>1.5</v>
      </c>
    </row>
    <row r="157" spans="1:9" x14ac:dyDescent="0.35">
      <c r="A157" t="s">
        <v>18</v>
      </c>
      <c r="B157">
        <v>2017</v>
      </c>
      <c r="C157">
        <v>16000</v>
      </c>
      <c r="D157" t="s">
        <v>17</v>
      </c>
      <c r="E157">
        <v>16359</v>
      </c>
      <c r="F157" t="s">
        <v>13</v>
      </c>
      <c r="G157">
        <v>145</v>
      </c>
      <c r="H157">
        <v>46.3</v>
      </c>
      <c r="I157">
        <v>2</v>
      </c>
    </row>
    <row r="158" spans="1:9" x14ac:dyDescent="0.35">
      <c r="A158" t="s">
        <v>18</v>
      </c>
      <c r="B158">
        <v>2017</v>
      </c>
      <c r="C158">
        <v>16600</v>
      </c>
      <c r="D158" t="s">
        <v>10</v>
      </c>
      <c r="E158">
        <v>46913</v>
      </c>
      <c r="F158" t="s">
        <v>11</v>
      </c>
      <c r="G158">
        <v>145</v>
      </c>
      <c r="H158">
        <v>65.7</v>
      </c>
      <c r="I158">
        <v>2</v>
      </c>
    </row>
    <row r="159" spans="1:9" x14ac:dyDescent="0.35">
      <c r="A159" t="s">
        <v>20</v>
      </c>
      <c r="B159">
        <v>2017</v>
      </c>
      <c r="C159">
        <v>15100</v>
      </c>
      <c r="D159" t="s">
        <v>17</v>
      </c>
      <c r="E159">
        <v>37747</v>
      </c>
      <c r="F159" t="s">
        <v>11</v>
      </c>
      <c r="G159">
        <v>125</v>
      </c>
      <c r="H159">
        <v>60.1</v>
      </c>
      <c r="I159">
        <v>2</v>
      </c>
    </row>
    <row r="160" spans="1:9" x14ac:dyDescent="0.35">
      <c r="A160" t="s">
        <v>18</v>
      </c>
      <c r="B160">
        <v>2017</v>
      </c>
      <c r="C160">
        <v>16750</v>
      </c>
      <c r="D160" t="s">
        <v>17</v>
      </c>
      <c r="E160">
        <v>24882</v>
      </c>
      <c r="F160" t="s">
        <v>13</v>
      </c>
      <c r="G160">
        <v>145</v>
      </c>
      <c r="H160">
        <v>46.3</v>
      </c>
      <c r="I160">
        <v>2</v>
      </c>
    </row>
    <row r="161" spans="1:9" x14ac:dyDescent="0.35">
      <c r="A161" t="s">
        <v>14</v>
      </c>
      <c r="B161">
        <v>2015</v>
      </c>
      <c r="C161">
        <v>12450</v>
      </c>
      <c r="D161" t="s">
        <v>17</v>
      </c>
      <c r="E161">
        <v>24474</v>
      </c>
      <c r="F161" t="s">
        <v>13</v>
      </c>
      <c r="G161">
        <v>125</v>
      </c>
      <c r="H161">
        <v>52.3</v>
      </c>
      <c r="I161">
        <v>1.5</v>
      </c>
    </row>
    <row r="162" spans="1:9" x14ac:dyDescent="0.35">
      <c r="A162" t="s">
        <v>20</v>
      </c>
      <c r="B162">
        <v>2018</v>
      </c>
      <c r="C162">
        <v>15700</v>
      </c>
      <c r="D162" t="s">
        <v>10</v>
      </c>
      <c r="E162">
        <v>29394</v>
      </c>
      <c r="F162" t="s">
        <v>13</v>
      </c>
      <c r="G162">
        <v>145</v>
      </c>
      <c r="H162">
        <v>48.7</v>
      </c>
      <c r="I162">
        <v>2</v>
      </c>
    </row>
    <row r="163" spans="1:9" x14ac:dyDescent="0.35">
      <c r="A163" t="s">
        <v>9</v>
      </c>
      <c r="B163">
        <v>2016</v>
      </c>
      <c r="C163">
        <v>12600</v>
      </c>
      <c r="D163" t="s">
        <v>17</v>
      </c>
      <c r="E163">
        <v>59528</v>
      </c>
      <c r="F163" t="s">
        <v>11</v>
      </c>
      <c r="G163">
        <v>125</v>
      </c>
      <c r="H163">
        <v>60.1</v>
      </c>
      <c r="I163">
        <v>2</v>
      </c>
    </row>
    <row r="164" spans="1:9" x14ac:dyDescent="0.35">
      <c r="A164" t="s">
        <v>16</v>
      </c>
      <c r="B164">
        <v>2016</v>
      </c>
      <c r="C164">
        <v>14600</v>
      </c>
      <c r="D164" t="s">
        <v>17</v>
      </c>
      <c r="E164">
        <v>15577</v>
      </c>
      <c r="F164" t="s">
        <v>13</v>
      </c>
      <c r="G164">
        <v>160</v>
      </c>
      <c r="H164">
        <v>44.1</v>
      </c>
      <c r="I164">
        <v>2</v>
      </c>
    </row>
    <row r="165" spans="1:9" x14ac:dyDescent="0.35">
      <c r="A165" t="s">
        <v>25</v>
      </c>
      <c r="B165">
        <v>2016</v>
      </c>
      <c r="C165">
        <v>13700</v>
      </c>
      <c r="D165" t="s">
        <v>17</v>
      </c>
      <c r="E165">
        <v>52226</v>
      </c>
      <c r="F165" t="s">
        <v>11</v>
      </c>
      <c r="G165">
        <v>20</v>
      </c>
      <c r="H165">
        <v>68.900000000000006</v>
      </c>
      <c r="I165">
        <v>2</v>
      </c>
    </row>
    <row r="166" spans="1:9" x14ac:dyDescent="0.35">
      <c r="A166" t="s">
        <v>20</v>
      </c>
      <c r="B166">
        <v>2017</v>
      </c>
      <c r="C166">
        <v>16900</v>
      </c>
      <c r="D166" t="s">
        <v>10</v>
      </c>
      <c r="E166">
        <v>12330</v>
      </c>
      <c r="F166" t="s">
        <v>11</v>
      </c>
      <c r="G166">
        <v>30</v>
      </c>
      <c r="H166">
        <v>64.2</v>
      </c>
      <c r="I166">
        <v>2</v>
      </c>
    </row>
    <row r="167" spans="1:9" x14ac:dyDescent="0.35">
      <c r="A167" t="s">
        <v>18</v>
      </c>
      <c r="B167">
        <v>2015</v>
      </c>
      <c r="C167">
        <v>15998</v>
      </c>
      <c r="D167" t="s">
        <v>26</v>
      </c>
      <c r="E167">
        <v>62943</v>
      </c>
      <c r="F167" t="s">
        <v>11</v>
      </c>
      <c r="G167">
        <v>30</v>
      </c>
      <c r="H167">
        <v>65.7</v>
      </c>
      <c r="I167">
        <v>2</v>
      </c>
    </row>
    <row r="168" spans="1:9" x14ac:dyDescent="0.35">
      <c r="A168" t="s">
        <v>25</v>
      </c>
      <c r="B168">
        <v>2020</v>
      </c>
      <c r="C168">
        <v>31498</v>
      </c>
      <c r="D168" t="s">
        <v>26</v>
      </c>
      <c r="E168">
        <v>1560</v>
      </c>
      <c r="F168" t="s">
        <v>11</v>
      </c>
      <c r="G168">
        <v>145</v>
      </c>
      <c r="H168">
        <v>60.1</v>
      </c>
      <c r="I168">
        <v>2</v>
      </c>
    </row>
    <row r="169" spans="1:9" x14ac:dyDescent="0.35">
      <c r="A169" t="s">
        <v>16</v>
      </c>
      <c r="B169">
        <v>2020</v>
      </c>
      <c r="C169">
        <v>27998</v>
      </c>
      <c r="D169" t="s">
        <v>17</v>
      </c>
      <c r="E169">
        <v>1580</v>
      </c>
      <c r="F169" t="s">
        <v>13</v>
      </c>
      <c r="G169">
        <v>150</v>
      </c>
      <c r="H169">
        <v>43.5</v>
      </c>
      <c r="I169">
        <v>1.5</v>
      </c>
    </row>
    <row r="170" spans="1:9" x14ac:dyDescent="0.35">
      <c r="A170" t="s">
        <v>22</v>
      </c>
      <c r="B170">
        <v>2020</v>
      </c>
      <c r="C170">
        <v>54998</v>
      </c>
      <c r="D170" t="s">
        <v>26</v>
      </c>
      <c r="E170">
        <v>1500</v>
      </c>
      <c r="F170" t="s">
        <v>11</v>
      </c>
      <c r="G170">
        <v>150</v>
      </c>
      <c r="H170">
        <v>37.700000000000003</v>
      </c>
      <c r="I170">
        <v>3</v>
      </c>
    </row>
    <row r="171" spans="1:9" x14ac:dyDescent="0.35">
      <c r="A171" t="s">
        <v>20</v>
      </c>
      <c r="B171">
        <v>2014</v>
      </c>
      <c r="C171">
        <v>11998</v>
      </c>
      <c r="D171" t="s">
        <v>17</v>
      </c>
      <c r="E171">
        <v>11545</v>
      </c>
      <c r="F171" t="s">
        <v>13</v>
      </c>
      <c r="G171">
        <v>165</v>
      </c>
      <c r="H171">
        <v>44.8</v>
      </c>
      <c r="I171">
        <v>2</v>
      </c>
    </row>
    <row r="172" spans="1:9" x14ac:dyDescent="0.35">
      <c r="A172" t="s">
        <v>16</v>
      </c>
      <c r="B172">
        <v>2020</v>
      </c>
      <c r="C172">
        <v>25998</v>
      </c>
      <c r="D172" t="s">
        <v>10</v>
      </c>
      <c r="E172">
        <v>3160</v>
      </c>
      <c r="F172" t="s">
        <v>28</v>
      </c>
      <c r="G172">
        <v>140</v>
      </c>
      <c r="H172">
        <v>113</v>
      </c>
      <c r="I172">
        <v>1.5</v>
      </c>
    </row>
    <row r="173" spans="1:9" x14ac:dyDescent="0.35">
      <c r="A173" t="s">
        <v>14</v>
      </c>
      <c r="B173">
        <v>2020</v>
      </c>
      <c r="C173">
        <v>31998</v>
      </c>
      <c r="D173" t="s">
        <v>26</v>
      </c>
      <c r="E173">
        <v>1560</v>
      </c>
      <c r="F173" t="s">
        <v>11</v>
      </c>
      <c r="G173">
        <v>150</v>
      </c>
      <c r="H173">
        <v>48.7</v>
      </c>
      <c r="I173">
        <v>2</v>
      </c>
    </row>
    <row r="174" spans="1:9" x14ac:dyDescent="0.35">
      <c r="A174" t="s">
        <v>29</v>
      </c>
      <c r="B174">
        <v>2020</v>
      </c>
      <c r="C174">
        <v>29998</v>
      </c>
      <c r="D174" t="s">
        <v>17</v>
      </c>
      <c r="E174">
        <v>1850</v>
      </c>
      <c r="F174" t="s">
        <v>11</v>
      </c>
      <c r="G174">
        <v>150</v>
      </c>
      <c r="H174">
        <v>49.6</v>
      </c>
      <c r="I174">
        <v>2</v>
      </c>
    </row>
    <row r="175" spans="1:9" x14ac:dyDescent="0.35">
      <c r="A175" t="s">
        <v>23</v>
      </c>
      <c r="B175">
        <v>2019</v>
      </c>
      <c r="C175">
        <v>33998</v>
      </c>
      <c r="D175" t="s">
        <v>26</v>
      </c>
      <c r="E175">
        <v>7272</v>
      </c>
      <c r="F175" t="s">
        <v>11</v>
      </c>
      <c r="G175">
        <v>150</v>
      </c>
      <c r="H175">
        <v>42.8</v>
      </c>
      <c r="I175">
        <v>2</v>
      </c>
    </row>
    <row r="176" spans="1:9" x14ac:dyDescent="0.35">
      <c r="A176" t="s">
        <v>23</v>
      </c>
      <c r="B176">
        <v>2019</v>
      </c>
      <c r="C176">
        <v>33998</v>
      </c>
      <c r="D176" t="s">
        <v>26</v>
      </c>
      <c r="E176">
        <v>7272</v>
      </c>
      <c r="F176" t="s">
        <v>11</v>
      </c>
      <c r="G176">
        <v>150</v>
      </c>
      <c r="H176">
        <v>42.8</v>
      </c>
      <c r="I176">
        <v>2</v>
      </c>
    </row>
    <row r="177" spans="1:9" x14ac:dyDescent="0.35">
      <c r="A177" t="s">
        <v>14</v>
      </c>
      <c r="B177">
        <v>2017</v>
      </c>
      <c r="C177">
        <v>14995</v>
      </c>
      <c r="D177" t="s">
        <v>17</v>
      </c>
      <c r="E177">
        <v>19866</v>
      </c>
      <c r="F177" t="s">
        <v>11</v>
      </c>
      <c r="G177">
        <v>30</v>
      </c>
      <c r="H177">
        <v>65.7</v>
      </c>
      <c r="I177">
        <v>2</v>
      </c>
    </row>
    <row r="178" spans="1:9" x14ac:dyDescent="0.35">
      <c r="A178" t="s">
        <v>18</v>
      </c>
      <c r="B178">
        <v>2016</v>
      </c>
      <c r="C178">
        <v>17995</v>
      </c>
      <c r="D178" t="s">
        <v>26</v>
      </c>
      <c r="E178">
        <v>22476</v>
      </c>
      <c r="F178" t="s">
        <v>13</v>
      </c>
      <c r="G178">
        <v>145</v>
      </c>
      <c r="H178">
        <v>48.7</v>
      </c>
      <c r="I178">
        <v>2</v>
      </c>
    </row>
    <row r="179" spans="1:9" x14ac:dyDescent="0.35">
      <c r="A179" t="s">
        <v>14</v>
      </c>
      <c r="B179">
        <v>2013</v>
      </c>
      <c r="C179">
        <v>14498</v>
      </c>
      <c r="D179" t="s">
        <v>26</v>
      </c>
      <c r="E179">
        <v>42786</v>
      </c>
      <c r="F179" t="s">
        <v>13</v>
      </c>
      <c r="G179">
        <v>235</v>
      </c>
      <c r="H179">
        <v>37.700000000000003</v>
      </c>
      <c r="I179">
        <v>3</v>
      </c>
    </row>
    <row r="180" spans="1:9" x14ac:dyDescent="0.35">
      <c r="A180" t="s">
        <v>14</v>
      </c>
      <c r="B180">
        <v>2015</v>
      </c>
      <c r="C180">
        <v>10998</v>
      </c>
      <c r="D180" t="s">
        <v>17</v>
      </c>
      <c r="E180">
        <v>42410</v>
      </c>
      <c r="F180" t="s">
        <v>11</v>
      </c>
      <c r="G180">
        <v>30</v>
      </c>
      <c r="H180">
        <v>65.7</v>
      </c>
      <c r="I180">
        <v>2</v>
      </c>
    </row>
    <row r="181" spans="1:9" x14ac:dyDescent="0.35">
      <c r="A181" t="s">
        <v>9</v>
      </c>
      <c r="B181">
        <v>2014</v>
      </c>
      <c r="C181">
        <v>11998</v>
      </c>
      <c r="D181" t="s">
        <v>26</v>
      </c>
      <c r="E181">
        <v>60681</v>
      </c>
      <c r="F181" t="s">
        <v>11</v>
      </c>
      <c r="G181">
        <v>125</v>
      </c>
      <c r="H181">
        <v>57.6</v>
      </c>
      <c r="I181">
        <v>2</v>
      </c>
    </row>
    <row r="182" spans="1:9" x14ac:dyDescent="0.35">
      <c r="A182" t="s">
        <v>25</v>
      </c>
      <c r="B182">
        <v>2016</v>
      </c>
      <c r="C182">
        <v>14498</v>
      </c>
      <c r="D182" t="s">
        <v>17</v>
      </c>
      <c r="E182">
        <v>57717</v>
      </c>
      <c r="F182" t="s">
        <v>11</v>
      </c>
      <c r="G182">
        <v>125</v>
      </c>
      <c r="H182">
        <v>58.9</v>
      </c>
      <c r="I182">
        <v>2</v>
      </c>
    </row>
    <row r="183" spans="1:9" x14ac:dyDescent="0.35">
      <c r="A183" t="s">
        <v>20</v>
      </c>
      <c r="B183">
        <v>2017</v>
      </c>
      <c r="C183">
        <v>16998</v>
      </c>
      <c r="D183" t="s">
        <v>26</v>
      </c>
      <c r="E183">
        <v>8096</v>
      </c>
      <c r="F183" t="s">
        <v>13</v>
      </c>
      <c r="G183">
        <v>145</v>
      </c>
      <c r="H183">
        <v>51.4</v>
      </c>
      <c r="I183">
        <v>2</v>
      </c>
    </row>
    <row r="184" spans="1:9" x14ac:dyDescent="0.35">
      <c r="A184" t="s">
        <v>14</v>
      </c>
      <c r="B184">
        <v>2015</v>
      </c>
      <c r="C184">
        <v>11498</v>
      </c>
      <c r="D184" t="s">
        <v>17</v>
      </c>
      <c r="E184">
        <v>49151</v>
      </c>
      <c r="F184" t="s">
        <v>11</v>
      </c>
      <c r="G184">
        <v>30</v>
      </c>
      <c r="H184">
        <v>62.8</v>
      </c>
      <c r="I184">
        <v>2</v>
      </c>
    </row>
    <row r="185" spans="1:9" x14ac:dyDescent="0.35">
      <c r="A185" t="s">
        <v>30</v>
      </c>
      <c r="B185">
        <v>2017</v>
      </c>
      <c r="C185">
        <v>29498</v>
      </c>
      <c r="D185" t="s">
        <v>26</v>
      </c>
      <c r="E185">
        <v>40429</v>
      </c>
      <c r="F185" t="s">
        <v>11</v>
      </c>
      <c r="G185">
        <v>200</v>
      </c>
      <c r="H185">
        <v>47.1</v>
      </c>
      <c r="I185">
        <v>3</v>
      </c>
    </row>
    <row r="186" spans="1:9" x14ac:dyDescent="0.35">
      <c r="A186" t="s">
        <v>27</v>
      </c>
      <c r="B186">
        <v>2016</v>
      </c>
      <c r="C186">
        <v>31498</v>
      </c>
      <c r="D186" t="s">
        <v>26</v>
      </c>
      <c r="E186">
        <v>21107</v>
      </c>
      <c r="F186" t="s">
        <v>13</v>
      </c>
      <c r="G186">
        <v>300</v>
      </c>
      <c r="H186">
        <v>34</v>
      </c>
      <c r="I186">
        <v>3</v>
      </c>
    </row>
    <row r="187" spans="1:9" x14ac:dyDescent="0.35">
      <c r="A187" t="s">
        <v>14</v>
      </c>
      <c r="B187">
        <v>2016</v>
      </c>
      <c r="C187">
        <v>19498</v>
      </c>
      <c r="D187" t="s">
        <v>26</v>
      </c>
      <c r="E187">
        <v>33043</v>
      </c>
      <c r="F187" t="s">
        <v>13</v>
      </c>
      <c r="G187">
        <v>200</v>
      </c>
      <c r="H187">
        <v>39.799999999999997</v>
      </c>
      <c r="I187">
        <v>3</v>
      </c>
    </row>
    <row r="188" spans="1:9" x14ac:dyDescent="0.35">
      <c r="A188" t="s">
        <v>25</v>
      </c>
      <c r="B188">
        <v>2016</v>
      </c>
      <c r="C188">
        <v>17998</v>
      </c>
      <c r="D188" t="s">
        <v>26</v>
      </c>
      <c r="E188">
        <v>50378</v>
      </c>
      <c r="F188" t="s">
        <v>11</v>
      </c>
      <c r="G188">
        <v>125</v>
      </c>
      <c r="H188">
        <v>57.6</v>
      </c>
      <c r="I188">
        <v>2</v>
      </c>
    </row>
    <row r="189" spans="1:9" x14ac:dyDescent="0.35">
      <c r="A189" t="s">
        <v>9</v>
      </c>
      <c r="B189">
        <v>2019</v>
      </c>
      <c r="C189">
        <v>25998</v>
      </c>
      <c r="D189" t="s">
        <v>26</v>
      </c>
      <c r="E189">
        <v>11115</v>
      </c>
      <c r="F189" t="s">
        <v>11</v>
      </c>
      <c r="G189">
        <v>145</v>
      </c>
      <c r="H189">
        <v>65.7</v>
      </c>
      <c r="I189">
        <v>2</v>
      </c>
    </row>
    <row r="190" spans="1:9" x14ac:dyDescent="0.35">
      <c r="A190" t="s">
        <v>25</v>
      </c>
      <c r="B190">
        <v>2013</v>
      </c>
      <c r="C190">
        <v>8298</v>
      </c>
      <c r="D190" t="s">
        <v>17</v>
      </c>
      <c r="E190">
        <v>69020</v>
      </c>
      <c r="F190" t="s">
        <v>11</v>
      </c>
      <c r="G190">
        <v>125</v>
      </c>
      <c r="H190">
        <v>57.6</v>
      </c>
      <c r="I190">
        <v>2</v>
      </c>
    </row>
    <row r="191" spans="1:9" x14ac:dyDescent="0.35">
      <c r="A191" t="s">
        <v>31</v>
      </c>
      <c r="B191">
        <v>2019</v>
      </c>
      <c r="C191">
        <v>61898</v>
      </c>
      <c r="D191" t="s">
        <v>26</v>
      </c>
      <c r="E191">
        <v>2650</v>
      </c>
      <c r="F191" t="s">
        <v>11</v>
      </c>
      <c r="G191">
        <v>145</v>
      </c>
      <c r="H191">
        <v>39.799999999999997</v>
      </c>
      <c r="I191">
        <v>3</v>
      </c>
    </row>
    <row r="192" spans="1:9" x14ac:dyDescent="0.35">
      <c r="A192" t="s">
        <v>14</v>
      </c>
      <c r="B192">
        <v>2014</v>
      </c>
      <c r="C192">
        <v>13298</v>
      </c>
      <c r="D192" t="s">
        <v>17</v>
      </c>
      <c r="E192">
        <v>55834</v>
      </c>
      <c r="F192" t="s">
        <v>13</v>
      </c>
      <c r="G192">
        <v>300</v>
      </c>
      <c r="H192">
        <v>35.299999999999997</v>
      </c>
      <c r="I192">
        <v>3</v>
      </c>
    </row>
    <row r="193" spans="1:9" x14ac:dyDescent="0.35">
      <c r="A193" t="s">
        <v>20</v>
      </c>
      <c r="B193">
        <v>2019</v>
      </c>
      <c r="C193">
        <v>21898</v>
      </c>
      <c r="D193" t="s">
        <v>26</v>
      </c>
      <c r="E193">
        <v>5761</v>
      </c>
      <c r="F193" t="s">
        <v>11</v>
      </c>
      <c r="G193">
        <v>150</v>
      </c>
      <c r="H193">
        <v>55.4</v>
      </c>
      <c r="I193">
        <v>2</v>
      </c>
    </row>
    <row r="194" spans="1:9" x14ac:dyDescent="0.35">
      <c r="A194" t="s">
        <v>14</v>
      </c>
      <c r="B194">
        <v>2017</v>
      </c>
      <c r="C194">
        <v>11498</v>
      </c>
      <c r="D194" t="s">
        <v>26</v>
      </c>
      <c r="E194">
        <v>47110</v>
      </c>
      <c r="F194" t="s">
        <v>11</v>
      </c>
      <c r="G194">
        <v>0</v>
      </c>
      <c r="H194">
        <v>78.5</v>
      </c>
      <c r="I194">
        <v>1.5</v>
      </c>
    </row>
    <row r="195" spans="1:9" x14ac:dyDescent="0.35">
      <c r="A195" t="s">
        <v>19</v>
      </c>
      <c r="B195">
        <v>2014</v>
      </c>
      <c r="C195">
        <v>17495</v>
      </c>
      <c r="D195" t="s">
        <v>26</v>
      </c>
      <c r="E195">
        <v>54075</v>
      </c>
      <c r="F195" t="s">
        <v>11</v>
      </c>
      <c r="G195">
        <v>145</v>
      </c>
      <c r="H195">
        <v>54.3</v>
      </c>
      <c r="I195">
        <v>2</v>
      </c>
    </row>
    <row r="196" spans="1:9" x14ac:dyDescent="0.35">
      <c r="A196" t="s">
        <v>9</v>
      </c>
      <c r="B196">
        <v>2015</v>
      </c>
      <c r="C196">
        <v>14998</v>
      </c>
      <c r="D196" t="s">
        <v>26</v>
      </c>
      <c r="E196">
        <v>45152</v>
      </c>
      <c r="F196" t="s">
        <v>11</v>
      </c>
      <c r="G196">
        <v>30</v>
      </c>
      <c r="H196">
        <v>62.8</v>
      </c>
      <c r="I196">
        <v>2</v>
      </c>
    </row>
    <row r="197" spans="1:9" x14ac:dyDescent="0.35">
      <c r="A197" t="s">
        <v>16</v>
      </c>
      <c r="B197">
        <v>2014</v>
      </c>
      <c r="C197">
        <v>10498</v>
      </c>
      <c r="D197" t="s">
        <v>17</v>
      </c>
      <c r="E197">
        <v>52091</v>
      </c>
      <c r="F197" t="s">
        <v>11</v>
      </c>
      <c r="G197">
        <v>125</v>
      </c>
      <c r="H197">
        <v>58.9</v>
      </c>
      <c r="I197">
        <v>2</v>
      </c>
    </row>
    <row r="198" spans="1:9" x14ac:dyDescent="0.35">
      <c r="A198" t="s">
        <v>14</v>
      </c>
      <c r="B198">
        <v>2019</v>
      </c>
      <c r="C198">
        <v>19998</v>
      </c>
      <c r="D198" t="s">
        <v>26</v>
      </c>
      <c r="E198">
        <v>4812</v>
      </c>
      <c r="F198" t="s">
        <v>13</v>
      </c>
      <c r="G198">
        <v>145</v>
      </c>
      <c r="H198">
        <v>47.9</v>
      </c>
      <c r="I198">
        <v>2</v>
      </c>
    </row>
    <row r="199" spans="1:9" x14ac:dyDescent="0.35">
      <c r="A199" t="s">
        <v>25</v>
      </c>
      <c r="B199">
        <v>2016</v>
      </c>
      <c r="C199">
        <v>16698</v>
      </c>
      <c r="D199" t="s">
        <v>26</v>
      </c>
      <c r="E199">
        <v>37272</v>
      </c>
      <c r="F199" t="s">
        <v>13</v>
      </c>
      <c r="G199">
        <v>160</v>
      </c>
      <c r="H199">
        <v>44.8</v>
      </c>
      <c r="I199">
        <v>2</v>
      </c>
    </row>
    <row r="200" spans="1:9" x14ac:dyDescent="0.35">
      <c r="A200" t="s">
        <v>20</v>
      </c>
      <c r="B200">
        <v>2019</v>
      </c>
      <c r="C200">
        <v>27998</v>
      </c>
      <c r="D200" t="s">
        <v>26</v>
      </c>
      <c r="E200">
        <v>4250</v>
      </c>
      <c r="F200" t="s">
        <v>11</v>
      </c>
      <c r="G200">
        <v>145</v>
      </c>
      <c r="H200">
        <v>48.7</v>
      </c>
      <c r="I200">
        <v>2</v>
      </c>
    </row>
    <row r="201" spans="1:9" x14ac:dyDescent="0.35">
      <c r="A201" t="s">
        <v>9</v>
      </c>
      <c r="B201">
        <v>2018</v>
      </c>
      <c r="C201">
        <v>27798</v>
      </c>
      <c r="D201" t="s">
        <v>26</v>
      </c>
      <c r="E201">
        <v>15711</v>
      </c>
      <c r="F201" t="s">
        <v>11</v>
      </c>
      <c r="G201">
        <v>145</v>
      </c>
      <c r="H201">
        <v>60.1</v>
      </c>
      <c r="I201">
        <v>3</v>
      </c>
    </row>
    <row r="202" spans="1:9" x14ac:dyDescent="0.35">
      <c r="A202" t="s">
        <v>14</v>
      </c>
      <c r="B202">
        <v>2016</v>
      </c>
      <c r="C202">
        <v>18298</v>
      </c>
      <c r="D202" t="s">
        <v>17</v>
      </c>
      <c r="E202">
        <v>21236</v>
      </c>
      <c r="F202" t="s">
        <v>13</v>
      </c>
      <c r="G202">
        <v>260</v>
      </c>
      <c r="H202">
        <v>36.200000000000003</v>
      </c>
      <c r="I202">
        <v>3</v>
      </c>
    </row>
    <row r="203" spans="1:9" x14ac:dyDescent="0.35">
      <c r="A203" t="s">
        <v>14</v>
      </c>
      <c r="B203">
        <v>2017</v>
      </c>
      <c r="C203">
        <v>14698</v>
      </c>
      <c r="D203" t="s">
        <v>26</v>
      </c>
      <c r="E203">
        <v>24008</v>
      </c>
      <c r="F203" t="s">
        <v>13</v>
      </c>
      <c r="G203">
        <v>145</v>
      </c>
      <c r="H203">
        <v>55.5</v>
      </c>
      <c r="I203">
        <v>1.5</v>
      </c>
    </row>
    <row r="204" spans="1:9" x14ac:dyDescent="0.35">
      <c r="A204" t="s">
        <v>25</v>
      </c>
      <c r="B204">
        <v>2016</v>
      </c>
      <c r="C204">
        <v>18498</v>
      </c>
      <c r="D204" t="s">
        <v>26</v>
      </c>
      <c r="E204">
        <v>25994</v>
      </c>
      <c r="F204" t="s">
        <v>11</v>
      </c>
      <c r="G204">
        <v>145</v>
      </c>
      <c r="H204">
        <v>55.4</v>
      </c>
      <c r="I204">
        <v>2</v>
      </c>
    </row>
    <row r="205" spans="1:9" x14ac:dyDescent="0.35">
      <c r="A205" t="s">
        <v>22</v>
      </c>
      <c r="B205">
        <v>2015</v>
      </c>
      <c r="C205">
        <v>27998</v>
      </c>
      <c r="D205" t="s">
        <v>10</v>
      </c>
      <c r="E205">
        <v>24188</v>
      </c>
      <c r="F205" t="s">
        <v>11</v>
      </c>
      <c r="G205">
        <v>200</v>
      </c>
      <c r="H205">
        <v>47.1</v>
      </c>
      <c r="I205">
        <v>3</v>
      </c>
    </row>
    <row r="206" spans="1:9" x14ac:dyDescent="0.35">
      <c r="A206" t="s">
        <v>22</v>
      </c>
      <c r="B206">
        <v>2015</v>
      </c>
      <c r="C206">
        <v>21498</v>
      </c>
      <c r="D206" t="s">
        <v>10</v>
      </c>
      <c r="E206">
        <v>59216</v>
      </c>
      <c r="F206" t="s">
        <v>11</v>
      </c>
      <c r="G206">
        <v>200</v>
      </c>
      <c r="H206">
        <v>47.9</v>
      </c>
      <c r="I206">
        <v>3</v>
      </c>
    </row>
    <row r="207" spans="1:9" x14ac:dyDescent="0.35">
      <c r="A207" t="s">
        <v>14</v>
      </c>
      <c r="B207">
        <v>2017</v>
      </c>
      <c r="C207">
        <v>19498</v>
      </c>
      <c r="D207" t="s">
        <v>17</v>
      </c>
      <c r="E207">
        <v>21171</v>
      </c>
      <c r="F207" t="s">
        <v>13</v>
      </c>
      <c r="G207">
        <v>260</v>
      </c>
      <c r="H207">
        <v>36.200000000000003</v>
      </c>
      <c r="I207">
        <v>3</v>
      </c>
    </row>
    <row r="208" spans="1:9" x14ac:dyDescent="0.35">
      <c r="A208" t="s">
        <v>14</v>
      </c>
      <c r="B208">
        <v>2017</v>
      </c>
      <c r="C208">
        <v>14498</v>
      </c>
      <c r="D208" t="s">
        <v>17</v>
      </c>
      <c r="E208">
        <v>24259</v>
      </c>
      <c r="F208" t="s">
        <v>13</v>
      </c>
      <c r="G208">
        <v>145</v>
      </c>
      <c r="H208">
        <v>52.3</v>
      </c>
      <c r="I208">
        <v>1.5</v>
      </c>
    </row>
    <row r="209" spans="1:9" x14ac:dyDescent="0.35">
      <c r="A209" t="s">
        <v>9</v>
      </c>
      <c r="B209">
        <v>2017</v>
      </c>
      <c r="C209">
        <v>22998</v>
      </c>
      <c r="D209" t="s">
        <v>26</v>
      </c>
      <c r="E209">
        <v>19379</v>
      </c>
      <c r="F209" t="s">
        <v>11</v>
      </c>
      <c r="G209">
        <v>145</v>
      </c>
      <c r="H209">
        <v>65.7</v>
      </c>
      <c r="I209">
        <v>2</v>
      </c>
    </row>
    <row r="210" spans="1:9" x14ac:dyDescent="0.35">
      <c r="A210" t="s">
        <v>14</v>
      </c>
      <c r="B210">
        <v>2017</v>
      </c>
      <c r="C210">
        <v>14498</v>
      </c>
      <c r="D210" t="s">
        <v>17</v>
      </c>
      <c r="E210">
        <v>20790</v>
      </c>
      <c r="F210" t="s">
        <v>11</v>
      </c>
      <c r="G210">
        <v>145</v>
      </c>
      <c r="H210">
        <v>70.599999999999994</v>
      </c>
      <c r="I210">
        <v>1.5</v>
      </c>
    </row>
    <row r="211" spans="1:9" x14ac:dyDescent="0.35">
      <c r="A211" t="s">
        <v>9</v>
      </c>
      <c r="B211">
        <v>2019</v>
      </c>
      <c r="C211">
        <v>29898</v>
      </c>
      <c r="D211" t="s">
        <v>26</v>
      </c>
      <c r="E211">
        <v>2743</v>
      </c>
      <c r="F211" t="s">
        <v>11</v>
      </c>
      <c r="G211">
        <v>145</v>
      </c>
      <c r="H211">
        <v>60.1</v>
      </c>
      <c r="I211">
        <v>2</v>
      </c>
    </row>
    <row r="212" spans="1:9" x14ac:dyDescent="0.35">
      <c r="A212" t="s">
        <v>20</v>
      </c>
      <c r="B212">
        <v>2019</v>
      </c>
      <c r="C212">
        <v>22998</v>
      </c>
      <c r="D212" t="s">
        <v>26</v>
      </c>
      <c r="E212">
        <v>6000</v>
      </c>
      <c r="F212" t="s">
        <v>13</v>
      </c>
      <c r="G212">
        <v>145</v>
      </c>
      <c r="H212">
        <v>48.7</v>
      </c>
      <c r="I212">
        <v>2</v>
      </c>
    </row>
    <row r="213" spans="1:9" x14ac:dyDescent="0.35">
      <c r="A213" t="s">
        <v>20</v>
      </c>
      <c r="B213">
        <v>2019</v>
      </c>
      <c r="C213">
        <v>29998</v>
      </c>
      <c r="D213" t="s">
        <v>17</v>
      </c>
      <c r="E213">
        <v>3980</v>
      </c>
      <c r="F213" t="s">
        <v>11</v>
      </c>
      <c r="G213">
        <v>145</v>
      </c>
      <c r="H213">
        <v>53.3</v>
      </c>
      <c r="I213">
        <v>2</v>
      </c>
    </row>
    <row r="214" spans="1:9" x14ac:dyDescent="0.35">
      <c r="A214" t="s">
        <v>18</v>
      </c>
      <c r="B214">
        <v>2019</v>
      </c>
      <c r="C214">
        <v>29898</v>
      </c>
      <c r="D214" t="s">
        <v>26</v>
      </c>
      <c r="E214">
        <v>101</v>
      </c>
      <c r="F214" t="s">
        <v>11</v>
      </c>
      <c r="G214">
        <v>145</v>
      </c>
      <c r="H214">
        <v>60.1</v>
      </c>
      <c r="I214">
        <v>2</v>
      </c>
    </row>
    <row r="215" spans="1:9" x14ac:dyDescent="0.35">
      <c r="A215" t="s">
        <v>9</v>
      </c>
      <c r="B215">
        <v>2017</v>
      </c>
      <c r="C215">
        <v>20498</v>
      </c>
      <c r="D215" t="s">
        <v>26</v>
      </c>
      <c r="E215">
        <v>12725</v>
      </c>
      <c r="F215" t="s">
        <v>11</v>
      </c>
      <c r="G215">
        <v>145</v>
      </c>
      <c r="H215">
        <v>68.900000000000006</v>
      </c>
      <c r="I215">
        <v>2</v>
      </c>
    </row>
    <row r="216" spans="1:9" x14ac:dyDescent="0.35">
      <c r="A216" t="s">
        <v>20</v>
      </c>
      <c r="B216">
        <v>2019</v>
      </c>
      <c r="C216">
        <v>27650</v>
      </c>
      <c r="D216" t="s">
        <v>26</v>
      </c>
      <c r="E216">
        <v>18200</v>
      </c>
      <c r="F216" t="s">
        <v>11</v>
      </c>
      <c r="G216">
        <v>150</v>
      </c>
      <c r="H216">
        <v>48.7</v>
      </c>
      <c r="I216">
        <v>2</v>
      </c>
    </row>
    <row r="217" spans="1:9" x14ac:dyDescent="0.35">
      <c r="A217" t="s">
        <v>32</v>
      </c>
      <c r="B217">
        <v>2016</v>
      </c>
      <c r="C217">
        <v>18650</v>
      </c>
      <c r="D217" t="s">
        <v>26</v>
      </c>
      <c r="E217">
        <v>25300</v>
      </c>
      <c r="F217" t="s">
        <v>13</v>
      </c>
      <c r="G217">
        <v>205</v>
      </c>
      <c r="H217">
        <v>41.5</v>
      </c>
      <c r="I217">
        <v>2</v>
      </c>
    </row>
    <row r="218" spans="1:9" x14ac:dyDescent="0.35">
      <c r="A218" t="s">
        <v>18</v>
      </c>
      <c r="B218">
        <v>2018</v>
      </c>
      <c r="C218">
        <v>22995</v>
      </c>
      <c r="D218" t="s">
        <v>10</v>
      </c>
      <c r="E218">
        <v>7200</v>
      </c>
      <c r="F218" t="s">
        <v>13</v>
      </c>
      <c r="G218">
        <v>145</v>
      </c>
      <c r="H218">
        <v>48.7</v>
      </c>
      <c r="I218">
        <v>2</v>
      </c>
    </row>
    <row r="219" spans="1:9" x14ac:dyDescent="0.35">
      <c r="A219" t="s">
        <v>30</v>
      </c>
      <c r="B219">
        <v>2018</v>
      </c>
      <c r="C219">
        <v>36995</v>
      </c>
      <c r="D219" t="s">
        <v>26</v>
      </c>
      <c r="E219">
        <v>6100</v>
      </c>
      <c r="F219" t="s">
        <v>11</v>
      </c>
      <c r="G219">
        <v>145</v>
      </c>
      <c r="H219">
        <v>47.1</v>
      </c>
      <c r="I219">
        <v>3</v>
      </c>
    </row>
    <row r="220" spans="1:9" x14ac:dyDescent="0.35">
      <c r="A220" t="s">
        <v>9</v>
      </c>
      <c r="B220">
        <v>2018</v>
      </c>
      <c r="C220">
        <v>26995</v>
      </c>
      <c r="D220" t="s">
        <v>10</v>
      </c>
      <c r="E220">
        <v>6800</v>
      </c>
      <c r="F220" t="s">
        <v>11</v>
      </c>
      <c r="G220">
        <v>145</v>
      </c>
      <c r="H220">
        <v>68.900000000000006</v>
      </c>
      <c r="I220">
        <v>2</v>
      </c>
    </row>
    <row r="221" spans="1:9" x14ac:dyDescent="0.35">
      <c r="A221" t="s">
        <v>14</v>
      </c>
      <c r="B221">
        <v>2013</v>
      </c>
      <c r="C221">
        <v>11995</v>
      </c>
      <c r="D221" t="s">
        <v>17</v>
      </c>
      <c r="E221">
        <v>31600</v>
      </c>
      <c r="F221" t="s">
        <v>11</v>
      </c>
      <c r="G221">
        <v>125</v>
      </c>
      <c r="H221">
        <v>57.6</v>
      </c>
      <c r="I221">
        <v>2</v>
      </c>
    </row>
    <row r="222" spans="1:9" x14ac:dyDescent="0.35">
      <c r="A222" t="s">
        <v>9</v>
      </c>
      <c r="B222">
        <v>2018</v>
      </c>
      <c r="C222">
        <v>25995</v>
      </c>
      <c r="D222" t="s">
        <v>26</v>
      </c>
      <c r="E222">
        <v>8700</v>
      </c>
      <c r="F222" t="s">
        <v>11</v>
      </c>
      <c r="G222">
        <v>145</v>
      </c>
      <c r="H222">
        <v>49.6</v>
      </c>
      <c r="I222">
        <v>2</v>
      </c>
    </row>
    <row r="223" spans="1:9" x14ac:dyDescent="0.35">
      <c r="A223" t="s">
        <v>30</v>
      </c>
      <c r="B223">
        <v>2016</v>
      </c>
      <c r="C223">
        <v>29995</v>
      </c>
      <c r="D223" t="s">
        <v>10</v>
      </c>
      <c r="E223">
        <v>43600</v>
      </c>
      <c r="F223" t="s">
        <v>11</v>
      </c>
      <c r="G223">
        <v>200</v>
      </c>
      <c r="H223">
        <v>44.8</v>
      </c>
      <c r="I223">
        <v>3</v>
      </c>
    </row>
    <row r="224" spans="1:9" x14ac:dyDescent="0.35">
      <c r="A224" t="s">
        <v>20</v>
      </c>
      <c r="B224">
        <v>2018</v>
      </c>
      <c r="C224">
        <v>21495</v>
      </c>
      <c r="D224" t="s">
        <v>26</v>
      </c>
      <c r="E224">
        <v>16452</v>
      </c>
      <c r="F224" t="s">
        <v>13</v>
      </c>
      <c r="G224">
        <v>150</v>
      </c>
      <c r="H224">
        <v>48.7</v>
      </c>
      <c r="I224">
        <v>2</v>
      </c>
    </row>
    <row r="225" spans="1:9" x14ac:dyDescent="0.35">
      <c r="A225" t="s">
        <v>9</v>
      </c>
      <c r="B225">
        <v>2017</v>
      </c>
      <c r="C225">
        <v>22998</v>
      </c>
      <c r="D225" t="s">
        <v>10</v>
      </c>
      <c r="E225">
        <v>15838</v>
      </c>
      <c r="F225" t="s">
        <v>11</v>
      </c>
      <c r="G225">
        <v>145</v>
      </c>
      <c r="H225">
        <v>60.1</v>
      </c>
      <c r="I225">
        <v>2</v>
      </c>
    </row>
    <row r="226" spans="1:9" x14ac:dyDescent="0.35">
      <c r="A226" t="s">
        <v>9</v>
      </c>
      <c r="B226">
        <v>2019</v>
      </c>
      <c r="C226">
        <v>34498</v>
      </c>
      <c r="D226" t="s">
        <v>10</v>
      </c>
      <c r="E226">
        <v>6775</v>
      </c>
      <c r="F226" t="s">
        <v>11</v>
      </c>
      <c r="G226">
        <v>145</v>
      </c>
      <c r="H226">
        <v>51.4</v>
      </c>
      <c r="I226">
        <v>3</v>
      </c>
    </row>
    <row r="227" spans="1:9" x14ac:dyDescent="0.35">
      <c r="A227" t="s">
        <v>14</v>
      </c>
      <c r="B227">
        <v>2019</v>
      </c>
      <c r="C227">
        <v>18498</v>
      </c>
      <c r="D227" t="s">
        <v>26</v>
      </c>
      <c r="E227">
        <v>11234</v>
      </c>
      <c r="F227" t="s">
        <v>11</v>
      </c>
      <c r="G227">
        <v>145</v>
      </c>
      <c r="H227">
        <v>68.900000000000006</v>
      </c>
      <c r="I227">
        <v>2</v>
      </c>
    </row>
    <row r="228" spans="1:9" x14ac:dyDescent="0.35">
      <c r="A228" t="s">
        <v>15</v>
      </c>
      <c r="B228">
        <v>2019</v>
      </c>
      <c r="C228">
        <v>45898</v>
      </c>
      <c r="D228" t="s">
        <v>26</v>
      </c>
      <c r="E228">
        <v>5893</v>
      </c>
      <c r="F228" t="s">
        <v>11</v>
      </c>
      <c r="G228">
        <v>145</v>
      </c>
      <c r="H228">
        <v>44.1</v>
      </c>
      <c r="I228">
        <v>3</v>
      </c>
    </row>
    <row r="229" spans="1:9" x14ac:dyDescent="0.35">
      <c r="A229" t="s">
        <v>19</v>
      </c>
      <c r="B229">
        <v>2019</v>
      </c>
      <c r="C229">
        <v>37898</v>
      </c>
      <c r="D229" t="s">
        <v>26</v>
      </c>
      <c r="E229">
        <v>9781</v>
      </c>
      <c r="F229" t="s">
        <v>11</v>
      </c>
      <c r="G229">
        <v>145</v>
      </c>
      <c r="H229">
        <v>48.7</v>
      </c>
      <c r="I229">
        <v>3</v>
      </c>
    </row>
    <row r="230" spans="1:9" x14ac:dyDescent="0.35">
      <c r="A230" t="s">
        <v>22</v>
      </c>
      <c r="B230">
        <v>2016</v>
      </c>
      <c r="C230">
        <v>34498</v>
      </c>
      <c r="D230" t="s">
        <v>10</v>
      </c>
      <c r="E230">
        <v>17303</v>
      </c>
      <c r="F230" t="s">
        <v>28</v>
      </c>
      <c r="G230">
        <v>0</v>
      </c>
      <c r="H230">
        <v>85.6</v>
      </c>
      <c r="I230">
        <v>2</v>
      </c>
    </row>
    <row r="231" spans="1:9" x14ac:dyDescent="0.35">
      <c r="A231" t="s">
        <v>14</v>
      </c>
      <c r="B231">
        <v>2016</v>
      </c>
      <c r="C231">
        <v>17998</v>
      </c>
      <c r="D231" t="s">
        <v>17</v>
      </c>
      <c r="E231">
        <v>25334</v>
      </c>
      <c r="F231" t="s">
        <v>13</v>
      </c>
      <c r="G231">
        <v>300</v>
      </c>
      <c r="H231">
        <v>35.299999999999997</v>
      </c>
      <c r="I231">
        <v>3</v>
      </c>
    </row>
    <row r="232" spans="1:9" x14ac:dyDescent="0.35">
      <c r="A232" t="s">
        <v>20</v>
      </c>
      <c r="B232">
        <v>2016</v>
      </c>
      <c r="C232">
        <v>18498</v>
      </c>
      <c r="D232" t="s">
        <v>26</v>
      </c>
      <c r="E232">
        <v>36501</v>
      </c>
      <c r="F232" t="s">
        <v>11</v>
      </c>
      <c r="G232">
        <v>145</v>
      </c>
      <c r="H232">
        <v>53.3</v>
      </c>
      <c r="I232">
        <v>3</v>
      </c>
    </row>
    <row r="233" spans="1:9" x14ac:dyDescent="0.35">
      <c r="A233" t="s">
        <v>16</v>
      </c>
      <c r="B233">
        <v>2019</v>
      </c>
      <c r="C233">
        <v>23998</v>
      </c>
      <c r="D233" t="s">
        <v>26</v>
      </c>
      <c r="E233">
        <v>2318</v>
      </c>
      <c r="F233" t="s">
        <v>13</v>
      </c>
      <c r="G233">
        <v>145</v>
      </c>
      <c r="H233">
        <v>47.9</v>
      </c>
      <c r="I233">
        <v>2</v>
      </c>
    </row>
    <row r="234" spans="1:9" x14ac:dyDescent="0.35">
      <c r="A234" t="s">
        <v>25</v>
      </c>
      <c r="B234">
        <v>2017</v>
      </c>
      <c r="C234">
        <v>21498</v>
      </c>
      <c r="D234" t="s">
        <v>26</v>
      </c>
      <c r="E234">
        <v>14418</v>
      </c>
      <c r="F234" t="s">
        <v>11</v>
      </c>
      <c r="G234">
        <v>145</v>
      </c>
      <c r="H234">
        <v>55.4</v>
      </c>
      <c r="I234">
        <v>2</v>
      </c>
    </row>
    <row r="235" spans="1:9" x14ac:dyDescent="0.35">
      <c r="A235" t="s">
        <v>25</v>
      </c>
      <c r="B235">
        <v>2017</v>
      </c>
      <c r="C235">
        <v>18500</v>
      </c>
      <c r="D235" t="s">
        <v>26</v>
      </c>
      <c r="E235">
        <v>12160</v>
      </c>
      <c r="F235" t="s">
        <v>11</v>
      </c>
      <c r="G235">
        <v>145</v>
      </c>
      <c r="H235">
        <v>65.7</v>
      </c>
      <c r="I235">
        <v>2</v>
      </c>
    </row>
    <row r="236" spans="1:9" x14ac:dyDescent="0.35">
      <c r="A236" t="s">
        <v>19</v>
      </c>
      <c r="B236">
        <v>2018</v>
      </c>
      <c r="C236">
        <v>31000</v>
      </c>
      <c r="D236" t="s">
        <v>26</v>
      </c>
      <c r="E236">
        <v>20290</v>
      </c>
      <c r="F236" t="s">
        <v>11</v>
      </c>
      <c r="G236">
        <v>145</v>
      </c>
      <c r="H236">
        <v>48.7</v>
      </c>
      <c r="I236">
        <v>3</v>
      </c>
    </row>
    <row r="237" spans="1:9" x14ac:dyDescent="0.35">
      <c r="A237" t="s">
        <v>25</v>
      </c>
      <c r="B237">
        <v>2016</v>
      </c>
      <c r="C237">
        <v>19500</v>
      </c>
      <c r="D237" t="s">
        <v>26</v>
      </c>
      <c r="E237">
        <v>13690</v>
      </c>
      <c r="F237" t="s">
        <v>11</v>
      </c>
      <c r="G237">
        <v>125</v>
      </c>
      <c r="H237">
        <v>57.6</v>
      </c>
      <c r="I237">
        <v>2</v>
      </c>
    </row>
    <row r="238" spans="1:9" x14ac:dyDescent="0.35">
      <c r="A238" t="s">
        <v>22</v>
      </c>
      <c r="B238">
        <v>2017</v>
      </c>
      <c r="C238">
        <v>34000</v>
      </c>
      <c r="D238" t="s">
        <v>10</v>
      </c>
      <c r="E238">
        <v>22158</v>
      </c>
      <c r="F238" t="s">
        <v>11</v>
      </c>
      <c r="G238">
        <v>205</v>
      </c>
      <c r="H238">
        <v>47.1</v>
      </c>
      <c r="I238">
        <v>3</v>
      </c>
    </row>
    <row r="239" spans="1:9" x14ac:dyDescent="0.35">
      <c r="A239" t="s">
        <v>22</v>
      </c>
      <c r="B239">
        <v>2015</v>
      </c>
      <c r="C239">
        <v>28000</v>
      </c>
      <c r="D239" t="s">
        <v>10</v>
      </c>
      <c r="E239">
        <v>36174</v>
      </c>
      <c r="F239" t="s">
        <v>11</v>
      </c>
      <c r="G239">
        <v>205</v>
      </c>
      <c r="H239">
        <v>47.1</v>
      </c>
      <c r="I239">
        <v>3</v>
      </c>
    </row>
    <row r="240" spans="1:9" x14ac:dyDescent="0.35">
      <c r="A240" t="s">
        <v>20</v>
      </c>
      <c r="B240">
        <v>2018</v>
      </c>
      <c r="C240">
        <v>22000</v>
      </c>
      <c r="D240" t="s">
        <v>26</v>
      </c>
      <c r="E240">
        <v>30000</v>
      </c>
      <c r="F240" t="s">
        <v>11</v>
      </c>
      <c r="G240">
        <v>150</v>
      </c>
      <c r="H240">
        <v>53.3</v>
      </c>
      <c r="I240">
        <v>3</v>
      </c>
    </row>
    <row r="241" spans="1:9" x14ac:dyDescent="0.35">
      <c r="A241" t="s">
        <v>14</v>
      </c>
      <c r="B241">
        <v>2016</v>
      </c>
      <c r="C241">
        <v>16000</v>
      </c>
      <c r="D241" t="s">
        <v>17</v>
      </c>
      <c r="E241">
        <v>40125</v>
      </c>
      <c r="F241" t="s">
        <v>13</v>
      </c>
      <c r="G241">
        <v>305</v>
      </c>
      <c r="H241">
        <v>35.299999999999997</v>
      </c>
      <c r="I241">
        <v>3</v>
      </c>
    </row>
    <row r="242" spans="1:9" x14ac:dyDescent="0.35">
      <c r="A242" t="s">
        <v>20</v>
      </c>
      <c r="B242">
        <v>2017</v>
      </c>
      <c r="C242">
        <v>18000</v>
      </c>
      <c r="D242" t="s">
        <v>17</v>
      </c>
      <c r="E242">
        <v>20087</v>
      </c>
      <c r="F242" t="s">
        <v>13</v>
      </c>
      <c r="G242">
        <v>165</v>
      </c>
      <c r="H242">
        <v>44.8</v>
      </c>
      <c r="I242">
        <v>2</v>
      </c>
    </row>
    <row r="243" spans="1:9" x14ac:dyDescent="0.35">
      <c r="A243" t="s">
        <v>33</v>
      </c>
      <c r="B243">
        <v>2020</v>
      </c>
      <c r="C243">
        <v>78000</v>
      </c>
      <c r="D243" t="s">
        <v>26</v>
      </c>
      <c r="E243">
        <v>5000</v>
      </c>
      <c r="F243" t="s">
        <v>11</v>
      </c>
      <c r="G243">
        <v>150</v>
      </c>
      <c r="H243">
        <v>31.4</v>
      </c>
      <c r="I243">
        <v>3</v>
      </c>
    </row>
    <row r="244" spans="1:9" x14ac:dyDescent="0.35">
      <c r="A244" t="s">
        <v>20</v>
      </c>
      <c r="B244">
        <v>2018</v>
      </c>
      <c r="C244">
        <v>22500</v>
      </c>
      <c r="D244" t="s">
        <v>26</v>
      </c>
      <c r="E244">
        <v>11150</v>
      </c>
      <c r="F244" t="s">
        <v>13</v>
      </c>
      <c r="G244">
        <v>145</v>
      </c>
      <c r="H244">
        <v>48.7</v>
      </c>
      <c r="I244">
        <v>2</v>
      </c>
    </row>
    <row r="245" spans="1:9" x14ac:dyDescent="0.35">
      <c r="A245" t="s">
        <v>14</v>
      </c>
      <c r="B245">
        <v>2018</v>
      </c>
      <c r="C245">
        <v>15500</v>
      </c>
      <c r="D245" t="s">
        <v>17</v>
      </c>
      <c r="E245">
        <v>5827</v>
      </c>
      <c r="F245" t="s">
        <v>13</v>
      </c>
      <c r="G245">
        <v>145</v>
      </c>
      <c r="H245">
        <v>37.700000000000003</v>
      </c>
      <c r="I245">
        <v>1.5</v>
      </c>
    </row>
    <row r="246" spans="1:9" x14ac:dyDescent="0.35">
      <c r="A246" t="s">
        <v>18</v>
      </c>
      <c r="B246">
        <v>2019</v>
      </c>
      <c r="C246">
        <v>29000</v>
      </c>
      <c r="D246" t="s">
        <v>26</v>
      </c>
      <c r="E246">
        <v>14000</v>
      </c>
      <c r="F246" t="s">
        <v>11</v>
      </c>
      <c r="G246">
        <v>145</v>
      </c>
      <c r="H246">
        <v>50.4</v>
      </c>
      <c r="I246">
        <v>3</v>
      </c>
    </row>
    <row r="247" spans="1:9" x14ac:dyDescent="0.35">
      <c r="A247" t="s">
        <v>18</v>
      </c>
      <c r="B247">
        <v>2019</v>
      </c>
      <c r="C247">
        <v>24700</v>
      </c>
      <c r="D247" t="s">
        <v>26</v>
      </c>
      <c r="E247">
        <v>5196</v>
      </c>
      <c r="F247" t="s">
        <v>11</v>
      </c>
      <c r="G247">
        <v>145</v>
      </c>
      <c r="H247">
        <v>65.7</v>
      </c>
      <c r="I247">
        <v>2</v>
      </c>
    </row>
    <row r="248" spans="1:9" x14ac:dyDescent="0.35">
      <c r="A248" t="s">
        <v>16</v>
      </c>
      <c r="B248">
        <v>2019</v>
      </c>
      <c r="C248">
        <v>24000</v>
      </c>
      <c r="D248" t="s">
        <v>26</v>
      </c>
      <c r="E248">
        <v>2500</v>
      </c>
      <c r="F248" t="s">
        <v>13</v>
      </c>
      <c r="G248">
        <v>145</v>
      </c>
      <c r="H248">
        <v>39.200000000000003</v>
      </c>
      <c r="I248">
        <v>1.5</v>
      </c>
    </row>
    <row r="249" spans="1:9" x14ac:dyDescent="0.35">
      <c r="A249" t="s">
        <v>14</v>
      </c>
      <c r="B249">
        <v>2018</v>
      </c>
      <c r="C249">
        <v>16000</v>
      </c>
      <c r="D249" t="s">
        <v>17</v>
      </c>
      <c r="E249">
        <v>7000</v>
      </c>
      <c r="F249" t="s">
        <v>11</v>
      </c>
      <c r="G249">
        <v>145</v>
      </c>
      <c r="H249">
        <v>50.4</v>
      </c>
      <c r="I249">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247E9-D67E-4DE8-8955-2000EDEFDA6B}">
  <dimension ref="C3:T47"/>
  <sheetViews>
    <sheetView tabSelected="1" topLeftCell="A2" zoomScale="72" workbookViewId="0">
      <selection activeCell="AB30" sqref="AB30"/>
    </sheetView>
  </sheetViews>
  <sheetFormatPr defaultRowHeight="14.5" x14ac:dyDescent="0.35"/>
  <sheetData>
    <row r="3" spans="3:20" x14ac:dyDescent="0.35">
      <c r="C3" s="13"/>
      <c r="D3" s="13"/>
      <c r="E3" s="13"/>
      <c r="F3" s="13"/>
      <c r="G3" s="13"/>
      <c r="H3" s="13"/>
      <c r="I3" s="13"/>
      <c r="J3" s="13"/>
      <c r="K3" s="13"/>
      <c r="L3" s="13"/>
      <c r="M3" s="13"/>
      <c r="N3" s="13"/>
      <c r="O3" s="13"/>
      <c r="P3" s="13"/>
      <c r="Q3" s="13"/>
      <c r="R3" s="13"/>
      <c r="S3" s="13"/>
      <c r="T3" s="13"/>
    </row>
    <row r="4" spans="3:20" x14ac:dyDescent="0.35">
      <c r="C4" s="13"/>
      <c r="D4" s="13"/>
      <c r="E4" s="13"/>
      <c r="F4" s="13"/>
      <c r="G4" s="13"/>
      <c r="H4" s="13"/>
      <c r="I4" s="13"/>
      <c r="J4" s="13"/>
      <c r="K4" s="13"/>
      <c r="L4" s="13"/>
      <c r="M4" s="13"/>
      <c r="N4" s="13"/>
      <c r="O4" s="13"/>
      <c r="P4" s="13"/>
      <c r="Q4" s="13"/>
      <c r="R4" s="13"/>
      <c r="S4" s="13"/>
      <c r="T4" s="13"/>
    </row>
    <row r="5" spans="3:20" x14ac:dyDescent="0.35">
      <c r="C5" s="13"/>
      <c r="D5" s="13"/>
      <c r="E5" s="13"/>
      <c r="F5" s="13"/>
      <c r="G5" s="13"/>
      <c r="H5" s="13"/>
      <c r="I5" s="13"/>
      <c r="J5" s="13"/>
      <c r="K5" s="13"/>
      <c r="L5" s="13"/>
      <c r="M5" s="13"/>
      <c r="N5" s="13"/>
      <c r="O5" s="13"/>
      <c r="P5" s="13"/>
      <c r="Q5" s="13"/>
      <c r="R5" s="13"/>
      <c r="S5" s="13"/>
      <c r="T5" s="13"/>
    </row>
    <row r="6" spans="3:20" x14ac:dyDescent="0.35">
      <c r="C6" s="13"/>
      <c r="D6" s="13"/>
      <c r="E6" s="13"/>
      <c r="F6" s="13"/>
      <c r="G6" s="13"/>
      <c r="H6" s="13"/>
      <c r="I6" s="13"/>
      <c r="J6" s="13"/>
      <c r="K6" s="13"/>
      <c r="L6" s="13"/>
      <c r="M6" s="13"/>
      <c r="N6" s="13"/>
      <c r="O6" s="13"/>
      <c r="P6" s="13"/>
      <c r="Q6" s="13"/>
      <c r="R6" s="13"/>
      <c r="S6" s="13"/>
      <c r="T6" s="13"/>
    </row>
    <row r="7" spans="3:20" x14ac:dyDescent="0.35">
      <c r="C7" s="13"/>
      <c r="D7" s="13"/>
      <c r="E7" s="13"/>
      <c r="F7" s="13"/>
      <c r="G7" s="13"/>
      <c r="H7" s="13"/>
      <c r="I7" s="13"/>
      <c r="J7" s="13"/>
      <c r="K7" s="13"/>
      <c r="L7" s="13"/>
      <c r="M7" s="13"/>
      <c r="N7" s="13"/>
      <c r="O7" s="13"/>
      <c r="P7" s="13"/>
      <c r="Q7" s="13"/>
      <c r="R7" s="13"/>
      <c r="S7" s="13"/>
      <c r="T7" s="13"/>
    </row>
    <row r="8" spans="3:20" x14ac:dyDescent="0.35">
      <c r="C8" s="13"/>
      <c r="D8" s="13"/>
      <c r="E8" s="13"/>
      <c r="F8" s="13"/>
      <c r="G8" s="13"/>
      <c r="H8" s="13"/>
      <c r="I8" s="13"/>
      <c r="J8" s="13"/>
      <c r="K8" s="13"/>
      <c r="L8" s="13"/>
      <c r="M8" s="13"/>
      <c r="N8" s="13"/>
      <c r="O8" s="13"/>
      <c r="P8" s="13"/>
      <c r="Q8" s="13"/>
      <c r="R8" s="13"/>
      <c r="S8" s="13"/>
      <c r="T8" s="13"/>
    </row>
    <row r="9" spans="3:20" x14ac:dyDescent="0.35">
      <c r="C9" s="13"/>
      <c r="D9" s="13"/>
      <c r="E9" s="13"/>
      <c r="F9" s="13"/>
      <c r="G9" s="13"/>
      <c r="H9" s="13"/>
      <c r="I9" s="13"/>
      <c r="J9" s="13"/>
      <c r="K9" s="13"/>
      <c r="L9" s="13"/>
      <c r="M9" s="13"/>
      <c r="N9" s="13"/>
      <c r="O9" s="13"/>
      <c r="P9" s="13"/>
      <c r="Q9" s="13"/>
      <c r="R9" s="13"/>
      <c r="S9" s="13"/>
      <c r="T9" s="13"/>
    </row>
    <row r="10" spans="3:20" x14ac:dyDescent="0.35">
      <c r="C10" s="13"/>
      <c r="D10" s="13"/>
      <c r="E10" s="13"/>
      <c r="F10" s="13"/>
      <c r="G10" s="13"/>
      <c r="H10" s="13"/>
      <c r="I10" s="13"/>
      <c r="J10" s="13"/>
      <c r="K10" s="13"/>
      <c r="L10" s="13"/>
      <c r="M10" s="13"/>
      <c r="N10" s="13"/>
      <c r="O10" s="13"/>
      <c r="P10" s="13"/>
      <c r="Q10" s="13"/>
      <c r="R10" s="13"/>
      <c r="S10" s="13"/>
      <c r="T10" s="13"/>
    </row>
    <row r="11" spans="3:20" x14ac:dyDescent="0.35">
      <c r="C11" s="13"/>
      <c r="D11" s="13"/>
      <c r="E11" s="13"/>
      <c r="F11" s="13"/>
      <c r="G11" s="13"/>
      <c r="H11" s="13"/>
      <c r="I11" s="13"/>
      <c r="J11" s="13"/>
      <c r="K11" s="13"/>
      <c r="L11" s="13"/>
      <c r="M11" s="13"/>
      <c r="N11" s="13"/>
      <c r="O11" s="13"/>
      <c r="P11" s="13"/>
      <c r="Q11" s="13"/>
      <c r="R11" s="13"/>
      <c r="S11" s="13"/>
      <c r="T11" s="13"/>
    </row>
    <row r="12" spans="3:20" x14ac:dyDescent="0.35">
      <c r="C12" s="13"/>
      <c r="D12" s="13"/>
      <c r="E12" s="13"/>
      <c r="F12" s="13"/>
      <c r="G12" s="13"/>
      <c r="H12" s="13"/>
      <c r="I12" s="13"/>
      <c r="J12" s="13"/>
      <c r="K12" s="13"/>
      <c r="L12" s="13"/>
      <c r="M12" s="13"/>
      <c r="N12" s="13"/>
      <c r="O12" s="13"/>
      <c r="P12" s="13"/>
      <c r="Q12" s="13"/>
      <c r="R12" s="13"/>
      <c r="S12" s="13"/>
      <c r="T12" s="13"/>
    </row>
    <row r="13" spans="3:20" x14ac:dyDescent="0.35">
      <c r="C13" s="13"/>
      <c r="D13" s="13"/>
      <c r="E13" s="13"/>
      <c r="F13" s="13"/>
      <c r="G13" s="13"/>
      <c r="H13" s="13"/>
      <c r="I13" s="13"/>
      <c r="J13" s="13"/>
      <c r="K13" s="13"/>
      <c r="L13" s="13"/>
      <c r="M13" s="13"/>
      <c r="N13" s="13"/>
      <c r="O13" s="13"/>
      <c r="P13" s="13"/>
      <c r="Q13" s="13"/>
      <c r="R13" s="13"/>
      <c r="S13" s="13"/>
      <c r="T13" s="13"/>
    </row>
    <row r="14" spans="3:20" x14ac:dyDescent="0.35">
      <c r="C14" s="13"/>
      <c r="D14" s="13"/>
      <c r="E14" s="13"/>
      <c r="F14" s="13"/>
      <c r="G14" s="13"/>
      <c r="H14" s="13"/>
      <c r="I14" s="13"/>
      <c r="J14" s="13"/>
      <c r="K14" s="13"/>
      <c r="L14" s="13"/>
      <c r="M14" s="13"/>
      <c r="N14" s="13"/>
      <c r="O14" s="13"/>
      <c r="P14" s="13"/>
      <c r="Q14" s="13"/>
      <c r="R14" s="13"/>
      <c r="S14" s="13"/>
      <c r="T14" s="13"/>
    </row>
    <row r="15" spans="3:20" x14ac:dyDescent="0.35">
      <c r="C15" s="13"/>
      <c r="D15" s="13"/>
      <c r="E15" s="13"/>
      <c r="F15" s="13"/>
      <c r="G15" s="13"/>
      <c r="H15" s="13"/>
      <c r="I15" s="13"/>
      <c r="J15" s="13"/>
      <c r="K15" s="13"/>
      <c r="L15" s="13"/>
      <c r="M15" s="13"/>
      <c r="N15" s="13"/>
      <c r="O15" s="13"/>
      <c r="P15" s="13"/>
      <c r="Q15" s="13"/>
      <c r="R15" s="13"/>
      <c r="S15" s="13"/>
      <c r="T15" s="13"/>
    </row>
    <row r="16" spans="3:20" x14ac:dyDescent="0.35">
      <c r="C16" s="13"/>
      <c r="D16" s="13"/>
      <c r="E16" s="13"/>
      <c r="F16" s="13"/>
      <c r="G16" s="13"/>
      <c r="H16" s="13"/>
      <c r="I16" s="13"/>
      <c r="J16" s="13"/>
      <c r="K16" s="13"/>
      <c r="L16" s="13"/>
      <c r="M16" s="13"/>
      <c r="N16" s="13"/>
      <c r="O16" s="13"/>
      <c r="P16" s="13"/>
      <c r="Q16" s="13"/>
      <c r="R16" s="13"/>
      <c r="S16" s="13"/>
      <c r="T16" s="13"/>
    </row>
    <row r="17" spans="3:20" x14ac:dyDescent="0.35">
      <c r="C17" s="13"/>
      <c r="D17" s="13"/>
      <c r="E17" s="13"/>
      <c r="F17" s="13"/>
      <c r="G17" s="13"/>
      <c r="H17" s="13"/>
      <c r="I17" s="13"/>
      <c r="J17" s="13"/>
      <c r="K17" s="13"/>
      <c r="L17" s="13"/>
      <c r="M17" s="13"/>
      <c r="N17" s="13"/>
      <c r="O17" s="13"/>
      <c r="P17" s="13"/>
      <c r="Q17" s="13"/>
      <c r="R17" s="13"/>
      <c r="S17" s="13"/>
      <c r="T17" s="13"/>
    </row>
    <row r="18" spans="3:20" x14ac:dyDescent="0.35">
      <c r="C18" s="13"/>
      <c r="D18" s="13"/>
      <c r="E18" s="13"/>
      <c r="F18" s="13"/>
      <c r="G18" s="13"/>
      <c r="H18" s="13"/>
      <c r="I18" s="13"/>
      <c r="J18" s="13"/>
      <c r="K18" s="13"/>
      <c r="L18" s="13"/>
      <c r="M18" s="13"/>
      <c r="N18" s="13"/>
      <c r="O18" s="13"/>
      <c r="P18" s="13"/>
      <c r="Q18" s="13"/>
      <c r="R18" s="13"/>
      <c r="S18" s="13"/>
      <c r="T18" s="13"/>
    </row>
    <row r="19" spans="3:20" x14ac:dyDescent="0.35">
      <c r="C19" s="13"/>
      <c r="D19" s="13"/>
      <c r="E19" s="13"/>
      <c r="F19" s="13"/>
      <c r="G19" s="13"/>
      <c r="H19" s="13"/>
      <c r="I19" s="13"/>
      <c r="J19" s="13"/>
      <c r="K19" s="13"/>
      <c r="L19" s="13"/>
      <c r="M19" s="13"/>
      <c r="N19" s="13"/>
      <c r="O19" s="13"/>
      <c r="P19" s="13"/>
      <c r="Q19" s="13"/>
      <c r="R19" s="13"/>
      <c r="S19" s="13"/>
      <c r="T19" s="13"/>
    </row>
    <row r="20" spans="3:20" x14ac:dyDescent="0.35">
      <c r="C20" s="13"/>
      <c r="D20" s="13"/>
      <c r="E20" s="13"/>
      <c r="F20" s="13"/>
      <c r="G20" s="13"/>
      <c r="H20" s="13"/>
      <c r="I20" s="13"/>
      <c r="J20" s="13"/>
      <c r="K20" s="13"/>
      <c r="L20" s="13"/>
      <c r="M20" s="13"/>
      <c r="N20" s="13"/>
      <c r="O20" s="13"/>
      <c r="P20" s="13"/>
      <c r="Q20" s="13"/>
      <c r="R20" s="13"/>
      <c r="S20" s="13"/>
      <c r="T20" s="13"/>
    </row>
    <row r="21" spans="3:20" x14ac:dyDescent="0.35">
      <c r="C21" s="13"/>
      <c r="D21" s="13"/>
      <c r="E21" s="13"/>
      <c r="F21" s="13"/>
      <c r="G21" s="13"/>
      <c r="H21" s="13"/>
      <c r="I21" s="13"/>
      <c r="J21" s="13"/>
      <c r="K21" s="13"/>
      <c r="L21" s="13"/>
      <c r="M21" s="13"/>
      <c r="N21" s="13"/>
      <c r="O21" s="13"/>
      <c r="P21" s="13"/>
      <c r="Q21" s="13"/>
      <c r="R21" s="13"/>
      <c r="S21" s="13"/>
      <c r="T21" s="13"/>
    </row>
    <row r="22" spans="3:20" x14ac:dyDescent="0.35">
      <c r="C22" s="13"/>
      <c r="D22" s="13"/>
      <c r="E22" s="13"/>
      <c r="F22" s="13"/>
      <c r="G22" s="13"/>
      <c r="H22" s="13"/>
      <c r="I22" s="13"/>
      <c r="J22" s="13"/>
      <c r="K22" s="13"/>
      <c r="L22" s="13"/>
      <c r="M22" s="13"/>
      <c r="N22" s="13"/>
      <c r="O22" s="13"/>
      <c r="P22" s="13"/>
      <c r="Q22" s="13"/>
      <c r="R22" s="13"/>
      <c r="S22" s="13"/>
      <c r="T22" s="13"/>
    </row>
    <row r="23" spans="3:20" x14ac:dyDescent="0.35">
      <c r="C23" s="13"/>
      <c r="D23" s="13"/>
      <c r="E23" s="13"/>
      <c r="F23" s="13"/>
      <c r="G23" s="13"/>
      <c r="H23" s="13"/>
      <c r="I23" s="13"/>
      <c r="J23" s="13"/>
      <c r="K23" s="13"/>
      <c r="L23" s="13"/>
      <c r="M23" s="13"/>
      <c r="N23" s="13"/>
      <c r="O23" s="13"/>
      <c r="P23" s="13"/>
      <c r="Q23" s="13"/>
      <c r="R23" s="13"/>
      <c r="S23" s="13"/>
      <c r="T23" s="13"/>
    </row>
    <row r="24" spans="3:20" x14ac:dyDescent="0.35">
      <c r="C24" s="13"/>
      <c r="D24" s="13"/>
      <c r="E24" s="13"/>
      <c r="F24" s="13"/>
      <c r="G24" s="13"/>
      <c r="H24" s="13"/>
      <c r="I24" s="13"/>
      <c r="J24" s="13"/>
      <c r="K24" s="13"/>
      <c r="L24" s="13"/>
      <c r="M24" s="13"/>
      <c r="N24" s="13"/>
      <c r="O24" s="13"/>
      <c r="P24" s="13"/>
      <c r="Q24" s="13"/>
      <c r="R24" s="13"/>
      <c r="S24" s="13"/>
      <c r="T24" s="13"/>
    </row>
    <row r="25" spans="3:20" x14ac:dyDescent="0.35">
      <c r="C25" s="13"/>
      <c r="D25" s="13"/>
      <c r="E25" s="13"/>
      <c r="F25" s="13"/>
      <c r="G25" s="13"/>
      <c r="H25" s="13"/>
      <c r="I25" s="13"/>
      <c r="J25" s="13"/>
      <c r="K25" s="13"/>
      <c r="L25" s="13"/>
      <c r="M25" s="13"/>
      <c r="N25" s="13"/>
      <c r="O25" s="13"/>
      <c r="P25" s="13"/>
      <c r="Q25" s="13"/>
      <c r="R25" s="13"/>
      <c r="S25" s="13"/>
      <c r="T25" s="13"/>
    </row>
    <row r="26" spans="3:20" x14ac:dyDescent="0.35">
      <c r="C26" s="13"/>
      <c r="D26" s="13"/>
      <c r="E26" s="13"/>
      <c r="F26" s="13"/>
      <c r="G26" s="13"/>
      <c r="H26" s="13"/>
      <c r="I26" s="13"/>
      <c r="J26" s="13"/>
      <c r="K26" s="13"/>
      <c r="L26" s="13"/>
      <c r="M26" s="13"/>
      <c r="N26" s="13"/>
      <c r="O26" s="13"/>
      <c r="P26" s="13"/>
      <c r="Q26" s="13"/>
      <c r="R26" s="13"/>
      <c r="S26" s="13"/>
      <c r="T26" s="13"/>
    </row>
    <row r="27" spans="3:20" x14ac:dyDescent="0.35">
      <c r="C27" s="13"/>
      <c r="D27" s="13"/>
      <c r="E27" s="13"/>
      <c r="F27" s="13"/>
      <c r="G27" s="13"/>
      <c r="H27" s="13"/>
      <c r="I27" s="13"/>
      <c r="J27" s="13"/>
      <c r="K27" s="13"/>
      <c r="L27" s="13"/>
      <c r="M27" s="13"/>
      <c r="N27" s="13"/>
      <c r="O27" s="13"/>
      <c r="P27" s="13"/>
      <c r="Q27" s="13"/>
      <c r="R27" s="13"/>
      <c r="S27" s="13"/>
      <c r="T27" s="13"/>
    </row>
    <row r="28" spans="3:20" x14ac:dyDescent="0.35">
      <c r="C28" s="13"/>
      <c r="D28" s="13"/>
      <c r="E28" s="13"/>
      <c r="F28" s="13"/>
      <c r="G28" s="13"/>
      <c r="H28" s="13"/>
      <c r="I28" s="13"/>
      <c r="J28" s="13"/>
      <c r="K28" s="13"/>
      <c r="L28" s="13"/>
      <c r="M28" s="13"/>
      <c r="N28" s="13"/>
      <c r="O28" s="13"/>
      <c r="P28" s="13"/>
      <c r="Q28" s="13"/>
      <c r="R28" s="13"/>
      <c r="S28" s="13"/>
      <c r="T28" s="13"/>
    </row>
    <row r="29" spans="3:20" x14ac:dyDescent="0.35">
      <c r="C29" s="13"/>
      <c r="D29" s="13"/>
      <c r="E29" s="13"/>
      <c r="F29" s="13"/>
      <c r="G29" s="13"/>
      <c r="H29" s="13"/>
      <c r="I29" s="13"/>
      <c r="J29" s="13"/>
      <c r="K29" s="13"/>
      <c r="L29" s="13"/>
      <c r="M29" s="13"/>
      <c r="N29" s="13"/>
      <c r="O29" s="13"/>
      <c r="P29" s="13"/>
      <c r="Q29" s="13"/>
      <c r="R29" s="13"/>
      <c r="S29" s="13"/>
      <c r="T29" s="13"/>
    </row>
    <row r="30" spans="3:20" x14ac:dyDescent="0.35">
      <c r="C30" s="13"/>
      <c r="D30" s="13"/>
      <c r="E30" s="13"/>
      <c r="F30" s="13"/>
      <c r="G30" s="13"/>
      <c r="H30" s="13"/>
      <c r="I30" s="13"/>
      <c r="J30" s="13"/>
      <c r="K30" s="13"/>
      <c r="L30" s="13"/>
      <c r="M30" s="13"/>
      <c r="N30" s="13"/>
      <c r="O30" s="13"/>
      <c r="P30" s="13"/>
      <c r="Q30" s="13"/>
      <c r="R30" s="13"/>
      <c r="S30" s="13"/>
      <c r="T30" s="13"/>
    </row>
    <row r="31" spans="3:20" x14ac:dyDescent="0.35">
      <c r="C31" s="13"/>
      <c r="D31" s="13"/>
      <c r="E31" s="13"/>
      <c r="F31" s="13"/>
      <c r="G31" s="13"/>
      <c r="H31" s="13"/>
      <c r="I31" s="13"/>
      <c r="J31" s="13"/>
      <c r="K31" s="13"/>
      <c r="L31" s="13"/>
      <c r="M31" s="13"/>
      <c r="N31" s="13"/>
      <c r="O31" s="13"/>
      <c r="P31" s="13"/>
      <c r="Q31" s="13"/>
      <c r="R31" s="13"/>
      <c r="S31" s="13"/>
      <c r="T31" s="13"/>
    </row>
    <row r="32" spans="3:20" x14ac:dyDescent="0.35">
      <c r="C32" s="13"/>
      <c r="D32" s="13"/>
      <c r="E32" s="13"/>
      <c r="F32" s="13"/>
      <c r="G32" s="13"/>
      <c r="H32" s="13"/>
      <c r="I32" s="13"/>
      <c r="J32" s="13"/>
      <c r="K32" s="13"/>
      <c r="L32" s="13"/>
      <c r="M32" s="13"/>
      <c r="N32" s="13"/>
      <c r="O32" s="13"/>
      <c r="P32" s="13"/>
      <c r="Q32" s="13"/>
      <c r="R32" s="13"/>
      <c r="S32" s="13"/>
      <c r="T32" s="13"/>
    </row>
    <row r="33" spans="3:20" x14ac:dyDescent="0.35">
      <c r="C33" s="13"/>
      <c r="D33" s="13"/>
      <c r="E33" s="13"/>
      <c r="F33" s="13"/>
      <c r="G33" s="13"/>
      <c r="H33" s="13"/>
      <c r="I33" s="13"/>
      <c r="J33" s="13"/>
      <c r="K33" s="13"/>
      <c r="L33" s="13"/>
      <c r="M33" s="13"/>
      <c r="N33" s="13"/>
      <c r="O33" s="13"/>
      <c r="P33" s="13"/>
      <c r="Q33" s="13"/>
      <c r="R33" s="13"/>
      <c r="S33" s="13"/>
      <c r="T33" s="13"/>
    </row>
    <row r="34" spans="3:20" x14ac:dyDescent="0.35">
      <c r="C34" s="13"/>
      <c r="D34" s="13"/>
      <c r="E34" s="13"/>
      <c r="F34" s="13"/>
      <c r="G34" s="13"/>
      <c r="H34" s="13"/>
      <c r="I34" s="13"/>
      <c r="J34" s="13"/>
      <c r="K34" s="13"/>
      <c r="L34" s="13"/>
      <c r="M34" s="13"/>
      <c r="N34" s="13"/>
      <c r="O34" s="13"/>
      <c r="P34" s="13"/>
      <c r="Q34" s="13"/>
      <c r="R34" s="13"/>
      <c r="S34" s="13"/>
      <c r="T34" s="13"/>
    </row>
    <row r="35" spans="3:20" x14ac:dyDescent="0.35">
      <c r="C35" s="13"/>
      <c r="D35" s="13"/>
      <c r="E35" s="13"/>
      <c r="F35" s="13"/>
      <c r="G35" s="13"/>
      <c r="H35" s="13"/>
      <c r="I35" s="13"/>
      <c r="J35" s="13"/>
      <c r="K35" s="13"/>
      <c r="L35" s="13"/>
      <c r="M35" s="13"/>
      <c r="N35" s="13"/>
      <c r="O35" s="13"/>
      <c r="P35" s="13"/>
      <c r="Q35" s="13"/>
      <c r="R35" s="13"/>
      <c r="S35" s="13"/>
      <c r="T35" s="13"/>
    </row>
    <row r="36" spans="3:20" x14ac:dyDescent="0.35">
      <c r="C36" s="13"/>
      <c r="D36" s="13"/>
      <c r="E36" s="13"/>
      <c r="F36" s="13"/>
      <c r="G36" s="13"/>
      <c r="H36" s="13"/>
      <c r="I36" s="13"/>
      <c r="J36" s="13"/>
      <c r="K36" s="13"/>
      <c r="L36" s="13"/>
      <c r="M36" s="13"/>
      <c r="N36" s="13"/>
      <c r="O36" s="13"/>
      <c r="P36" s="13"/>
      <c r="Q36" s="13"/>
      <c r="R36" s="13"/>
      <c r="S36" s="13"/>
      <c r="T36" s="13"/>
    </row>
    <row r="37" spans="3:20" x14ac:dyDescent="0.35">
      <c r="C37" s="13"/>
      <c r="D37" s="13"/>
      <c r="E37" s="13"/>
      <c r="F37" s="13"/>
      <c r="G37" s="13"/>
      <c r="H37" s="13"/>
      <c r="I37" s="13"/>
      <c r="J37" s="13"/>
      <c r="K37" s="13"/>
      <c r="L37" s="13"/>
      <c r="M37" s="13"/>
      <c r="N37" s="13"/>
      <c r="O37" s="13"/>
      <c r="P37" s="13"/>
      <c r="Q37" s="13"/>
      <c r="R37" s="13"/>
      <c r="S37" s="13"/>
      <c r="T37" s="13"/>
    </row>
    <row r="38" spans="3:20" x14ac:dyDescent="0.35">
      <c r="C38" s="13"/>
      <c r="D38" s="13"/>
      <c r="E38" s="13"/>
      <c r="F38" s="13"/>
      <c r="G38" s="13"/>
      <c r="H38" s="13"/>
      <c r="I38" s="13"/>
      <c r="J38" s="13"/>
      <c r="K38" s="13"/>
      <c r="L38" s="13"/>
      <c r="M38" s="13"/>
      <c r="N38" s="13"/>
      <c r="O38" s="13"/>
      <c r="P38" s="13"/>
      <c r="Q38" s="13"/>
      <c r="R38" s="13"/>
      <c r="S38" s="13"/>
      <c r="T38" s="13"/>
    </row>
    <row r="39" spans="3:20" x14ac:dyDescent="0.35">
      <c r="C39" s="13"/>
      <c r="D39" s="13"/>
      <c r="E39" s="13"/>
      <c r="F39" s="13"/>
      <c r="G39" s="13"/>
      <c r="H39" s="13"/>
      <c r="I39" s="13"/>
      <c r="J39" s="13"/>
      <c r="K39" s="13"/>
      <c r="L39" s="13"/>
      <c r="M39" s="13"/>
      <c r="N39" s="13"/>
      <c r="O39" s="13"/>
      <c r="P39" s="13"/>
      <c r="Q39" s="13"/>
      <c r="R39" s="13"/>
      <c r="S39" s="13"/>
      <c r="T39" s="13"/>
    </row>
    <row r="40" spans="3:20" x14ac:dyDescent="0.35">
      <c r="C40" s="13"/>
      <c r="D40" s="13"/>
      <c r="E40" s="13"/>
      <c r="F40" s="13"/>
      <c r="G40" s="13"/>
      <c r="H40" s="13"/>
      <c r="I40" s="13"/>
      <c r="J40" s="13"/>
      <c r="K40" s="13"/>
      <c r="L40" s="13"/>
      <c r="M40" s="13"/>
      <c r="N40" s="13"/>
      <c r="O40" s="13"/>
      <c r="P40" s="13"/>
      <c r="Q40" s="13"/>
      <c r="R40" s="13"/>
      <c r="S40" s="13"/>
      <c r="T40" s="13"/>
    </row>
    <row r="41" spans="3:20" x14ac:dyDescent="0.35">
      <c r="C41" s="13"/>
      <c r="D41" s="13"/>
      <c r="E41" s="13"/>
      <c r="F41" s="13"/>
      <c r="G41" s="13"/>
      <c r="H41" s="13"/>
      <c r="I41" s="13"/>
      <c r="J41" s="13"/>
      <c r="K41" s="13"/>
      <c r="L41" s="13"/>
      <c r="M41" s="13"/>
      <c r="N41" s="13"/>
      <c r="O41" s="13"/>
      <c r="P41" s="13"/>
      <c r="Q41" s="13"/>
      <c r="R41" s="13"/>
      <c r="S41" s="13"/>
      <c r="T41" s="13"/>
    </row>
    <row r="42" spans="3:20" x14ac:dyDescent="0.35">
      <c r="C42" s="13"/>
      <c r="D42" s="13"/>
      <c r="E42" s="13"/>
      <c r="F42" s="13"/>
      <c r="G42" s="13"/>
      <c r="H42" s="13"/>
      <c r="I42" s="13"/>
      <c r="J42" s="13"/>
      <c r="K42" s="13"/>
      <c r="L42" s="13"/>
      <c r="M42" s="13"/>
      <c r="N42" s="13"/>
      <c r="O42" s="13"/>
      <c r="P42" s="13"/>
      <c r="Q42" s="13"/>
      <c r="R42" s="13"/>
      <c r="S42" s="13"/>
      <c r="T42" s="13"/>
    </row>
    <row r="43" spans="3:20" x14ac:dyDescent="0.35">
      <c r="C43" s="13"/>
      <c r="D43" s="13"/>
      <c r="E43" s="13"/>
      <c r="F43" s="13"/>
      <c r="G43" s="13"/>
      <c r="H43" s="13"/>
      <c r="I43" s="13"/>
      <c r="J43" s="13"/>
      <c r="K43" s="13"/>
      <c r="L43" s="13"/>
      <c r="M43" s="13"/>
      <c r="N43" s="13"/>
      <c r="O43" s="13"/>
      <c r="P43" s="13"/>
      <c r="Q43" s="13"/>
      <c r="R43" s="13"/>
      <c r="S43" s="13"/>
      <c r="T43" s="13"/>
    </row>
    <row r="44" spans="3:20" x14ac:dyDescent="0.35">
      <c r="C44" s="13"/>
      <c r="D44" s="13"/>
      <c r="E44" s="13"/>
      <c r="F44" s="13"/>
      <c r="G44" s="13"/>
      <c r="H44" s="13"/>
      <c r="I44" s="13"/>
      <c r="J44" s="13"/>
      <c r="K44" s="13"/>
      <c r="L44" s="13"/>
      <c r="M44" s="13"/>
      <c r="N44" s="13"/>
      <c r="O44" s="13"/>
      <c r="P44" s="13"/>
      <c r="Q44" s="13"/>
      <c r="R44" s="13"/>
      <c r="S44" s="13"/>
      <c r="T44" s="13"/>
    </row>
    <row r="45" spans="3:20" x14ac:dyDescent="0.35">
      <c r="C45" s="13"/>
      <c r="D45" s="13"/>
      <c r="E45" s="13"/>
      <c r="F45" s="13"/>
      <c r="G45" s="13"/>
      <c r="H45" s="13"/>
      <c r="I45" s="13"/>
      <c r="J45" s="13"/>
      <c r="K45" s="13"/>
      <c r="L45" s="13"/>
      <c r="M45" s="13"/>
      <c r="N45" s="13"/>
      <c r="O45" s="13"/>
      <c r="P45" s="13"/>
      <c r="Q45" s="13"/>
      <c r="R45" s="13"/>
      <c r="S45" s="13"/>
      <c r="T45" s="13"/>
    </row>
    <row r="46" spans="3:20" x14ac:dyDescent="0.35">
      <c r="C46" s="13"/>
      <c r="D46" s="13"/>
      <c r="E46" s="13"/>
      <c r="F46" s="13"/>
      <c r="G46" s="13"/>
      <c r="H46" s="13"/>
      <c r="I46" s="13"/>
      <c r="J46" s="13"/>
      <c r="K46" s="13"/>
      <c r="L46" s="13"/>
      <c r="M46" s="13"/>
      <c r="N46" s="13"/>
      <c r="O46" s="13"/>
      <c r="P46" s="13"/>
      <c r="Q46" s="13"/>
      <c r="R46" s="13"/>
      <c r="S46" s="13"/>
      <c r="T46" s="13"/>
    </row>
    <row r="47" spans="3:20" x14ac:dyDescent="0.35">
      <c r="C47" s="13"/>
      <c r="D47" s="13"/>
      <c r="E47" s="13"/>
      <c r="F47" s="13"/>
      <c r="G47" s="13"/>
      <c r="H47" s="13"/>
      <c r="I47" s="13"/>
      <c r="J47" s="13"/>
      <c r="K47" s="13"/>
      <c r="L47" s="13"/>
      <c r="M47" s="13"/>
      <c r="N47" s="13"/>
      <c r="O47" s="13"/>
      <c r="P47" s="13"/>
      <c r="Q47" s="13"/>
      <c r="R47" s="13"/>
      <c r="S47" s="13"/>
      <c r="T47" s="13"/>
    </row>
  </sheetData>
  <mergeCells count="1">
    <mergeCell ref="C3:T4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2A31A-A50B-40E4-A45B-756B3A05EC03}">
  <dimension ref="A3:F25"/>
  <sheetViews>
    <sheetView workbookViewId="0">
      <selection activeCell="G15" sqref="G15"/>
    </sheetView>
  </sheetViews>
  <sheetFormatPr defaultRowHeight="14.5" x14ac:dyDescent="0.35"/>
  <cols>
    <col min="1" max="1" width="12.453125" bestFit="1" customWidth="1"/>
    <col min="2" max="2" width="9.54296875" bestFit="1" customWidth="1"/>
    <col min="5" max="5" width="12.453125" bestFit="1" customWidth="1"/>
    <col min="6" max="6" width="10.54296875" bestFit="1" customWidth="1"/>
  </cols>
  <sheetData>
    <row r="3" spans="1:6" x14ac:dyDescent="0.35">
      <c r="A3" s="1" t="s">
        <v>38</v>
      </c>
      <c r="B3" t="s">
        <v>47</v>
      </c>
    </row>
    <row r="4" spans="1:6" x14ac:dyDescent="0.35">
      <c r="A4" s="2">
        <v>2013</v>
      </c>
      <c r="B4">
        <v>1130</v>
      </c>
    </row>
    <row r="5" spans="1:6" x14ac:dyDescent="0.35">
      <c r="A5" s="2">
        <v>2014</v>
      </c>
      <c r="B5">
        <v>1710</v>
      </c>
    </row>
    <row r="6" spans="1:6" x14ac:dyDescent="0.35">
      <c r="A6" s="2">
        <v>2015</v>
      </c>
      <c r="B6">
        <v>1605</v>
      </c>
      <c r="E6" s="1" t="s">
        <v>38</v>
      </c>
      <c r="F6" t="s">
        <v>48</v>
      </c>
    </row>
    <row r="7" spans="1:6" x14ac:dyDescent="0.35">
      <c r="A7" s="2">
        <v>2016</v>
      </c>
      <c r="B7">
        <v>7125</v>
      </c>
      <c r="E7" s="2" t="s">
        <v>14</v>
      </c>
      <c r="F7">
        <v>139131</v>
      </c>
    </row>
    <row r="8" spans="1:6" x14ac:dyDescent="0.35">
      <c r="A8" s="2">
        <v>2017</v>
      </c>
      <c r="B8">
        <v>9640</v>
      </c>
      <c r="E8" s="2" t="s">
        <v>16</v>
      </c>
      <c r="F8">
        <v>34290</v>
      </c>
    </row>
    <row r="9" spans="1:6" x14ac:dyDescent="0.35">
      <c r="A9" s="2">
        <v>2018</v>
      </c>
      <c r="B9">
        <v>3500</v>
      </c>
      <c r="E9" s="2" t="s">
        <v>20</v>
      </c>
      <c r="F9">
        <v>104869</v>
      </c>
    </row>
    <row r="10" spans="1:6" x14ac:dyDescent="0.35">
      <c r="A10" s="2">
        <v>2019</v>
      </c>
      <c r="B10">
        <v>3065</v>
      </c>
      <c r="E10" s="2" t="s">
        <v>18</v>
      </c>
      <c r="F10">
        <v>30255</v>
      </c>
    </row>
    <row r="11" spans="1:6" x14ac:dyDescent="0.35">
      <c r="A11" s="2">
        <v>2020</v>
      </c>
      <c r="B11">
        <v>1035</v>
      </c>
      <c r="E11" s="2" t="s">
        <v>9</v>
      </c>
      <c r="F11">
        <v>60492</v>
      </c>
    </row>
    <row r="12" spans="1:6" x14ac:dyDescent="0.35">
      <c r="A12" s="2" t="s">
        <v>34</v>
      </c>
      <c r="B12">
        <v>28810</v>
      </c>
      <c r="E12" s="2" t="s">
        <v>12</v>
      </c>
      <c r="F12">
        <v>2018</v>
      </c>
    </row>
    <row r="13" spans="1:6" x14ac:dyDescent="0.35">
      <c r="E13" s="2" t="s">
        <v>15</v>
      </c>
      <c r="F13">
        <v>4033</v>
      </c>
    </row>
    <row r="14" spans="1:6" x14ac:dyDescent="0.35">
      <c r="E14" s="2" t="s">
        <v>31</v>
      </c>
      <c r="F14">
        <v>2019</v>
      </c>
    </row>
    <row r="15" spans="1:6" x14ac:dyDescent="0.35">
      <c r="E15" s="2" t="s">
        <v>24</v>
      </c>
      <c r="F15">
        <v>2016</v>
      </c>
    </row>
    <row r="16" spans="1:6" x14ac:dyDescent="0.35">
      <c r="E16" s="2" t="s">
        <v>27</v>
      </c>
      <c r="F16">
        <v>4032</v>
      </c>
    </row>
    <row r="17" spans="5:6" x14ac:dyDescent="0.35">
      <c r="E17" s="2" t="s">
        <v>25</v>
      </c>
      <c r="F17">
        <v>48396</v>
      </c>
    </row>
    <row r="18" spans="5:6" x14ac:dyDescent="0.35">
      <c r="E18" s="2" t="s">
        <v>29</v>
      </c>
      <c r="F18">
        <v>2020</v>
      </c>
    </row>
    <row r="19" spans="5:6" x14ac:dyDescent="0.35">
      <c r="E19" s="2" t="s">
        <v>19</v>
      </c>
      <c r="F19">
        <v>30241</v>
      </c>
    </row>
    <row r="20" spans="5:6" x14ac:dyDescent="0.35">
      <c r="E20" s="2" t="s">
        <v>23</v>
      </c>
      <c r="F20">
        <v>10088</v>
      </c>
    </row>
    <row r="21" spans="5:6" x14ac:dyDescent="0.35">
      <c r="E21" s="2" t="s">
        <v>22</v>
      </c>
      <c r="F21">
        <v>16130</v>
      </c>
    </row>
    <row r="22" spans="5:6" x14ac:dyDescent="0.35">
      <c r="E22" s="2" t="s">
        <v>30</v>
      </c>
      <c r="F22">
        <v>6051</v>
      </c>
    </row>
    <row r="23" spans="5:6" x14ac:dyDescent="0.35">
      <c r="E23" s="2" t="s">
        <v>33</v>
      </c>
      <c r="F23">
        <v>2020</v>
      </c>
    </row>
    <row r="24" spans="5:6" x14ac:dyDescent="0.35">
      <c r="E24" s="2" t="s">
        <v>32</v>
      </c>
      <c r="F24">
        <v>2016</v>
      </c>
    </row>
    <row r="25" spans="5:6" x14ac:dyDescent="0.35">
      <c r="E25" s="2" t="s">
        <v>34</v>
      </c>
      <c r="F25">
        <v>500117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95F24-6A76-483A-AABF-946CF2F4F229}">
  <dimension ref="A3:O43"/>
  <sheetViews>
    <sheetView zoomScale="68" workbookViewId="0">
      <selection activeCell="R18" sqref="R18"/>
    </sheetView>
  </sheetViews>
  <sheetFormatPr defaultRowHeight="14.5" x14ac:dyDescent="0.35"/>
  <cols>
    <col min="1" max="1" width="13.7265625" bestFit="1" customWidth="1"/>
    <col min="2" max="2" width="14.54296875" bestFit="1" customWidth="1"/>
    <col min="3" max="3" width="13.7265625" bestFit="1" customWidth="1"/>
    <col min="5" max="5" width="10.36328125" bestFit="1" customWidth="1"/>
    <col min="6" max="7" width="13.7265625" bestFit="1" customWidth="1"/>
    <col min="8" max="8" width="17.08984375" bestFit="1" customWidth="1"/>
    <col min="9" max="9" width="13.7265625" bestFit="1" customWidth="1"/>
    <col min="10" max="10" width="9.7265625" bestFit="1" customWidth="1"/>
    <col min="14" max="14" width="13.7265625" bestFit="1" customWidth="1"/>
    <col min="15" max="15" width="14.08984375" bestFit="1" customWidth="1"/>
  </cols>
  <sheetData>
    <row r="3" spans="1:15" x14ac:dyDescent="0.35">
      <c r="A3" s="1" t="s">
        <v>38</v>
      </c>
      <c r="B3" t="s">
        <v>41</v>
      </c>
      <c r="F3" s="1" t="s">
        <v>38</v>
      </c>
      <c r="G3" t="s">
        <v>39</v>
      </c>
    </row>
    <row r="4" spans="1:15" x14ac:dyDescent="0.35">
      <c r="A4" s="2" t="s">
        <v>14</v>
      </c>
      <c r="B4">
        <v>13595.72463768116</v>
      </c>
      <c r="F4" s="2" t="s">
        <v>11</v>
      </c>
      <c r="G4">
        <v>179</v>
      </c>
      <c r="I4" s="1" t="s">
        <v>38</v>
      </c>
      <c r="J4" t="s">
        <v>47</v>
      </c>
    </row>
    <row r="5" spans="1:15" x14ac:dyDescent="0.35">
      <c r="A5" s="2" t="s">
        <v>16</v>
      </c>
      <c r="B5">
        <v>15446.588235294117</v>
      </c>
      <c r="F5" s="2" t="s">
        <v>28</v>
      </c>
      <c r="G5">
        <v>2</v>
      </c>
      <c r="I5" s="2">
        <v>2013</v>
      </c>
      <c r="J5">
        <v>1130</v>
      </c>
    </row>
    <row r="6" spans="1:15" x14ac:dyDescent="0.35">
      <c r="A6" s="2" t="s">
        <v>20</v>
      </c>
      <c r="B6">
        <v>16378.288461538461</v>
      </c>
      <c r="F6" s="2" t="s">
        <v>21</v>
      </c>
      <c r="G6">
        <v>7</v>
      </c>
      <c r="I6" s="2">
        <v>2014</v>
      </c>
      <c r="J6">
        <v>1710</v>
      </c>
    </row>
    <row r="7" spans="1:15" x14ac:dyDescent="0.35">
      <c r="A7" s="2" t="s">
        <v>18</v>
      </c>
      <c r="B7">
        <v>18842.400000000001</v>
      </c>
      <c r="F7" s="2" t="s">
        <v>13</v>
      </c>
      <c r="G7">
        <v>60</v>
      </c>
      <c r="I7" s="2">
        <v>2015</v>
      </c>
      <c r="J7">
        <v>1605</v>
      </c>
    </row>
    <row r="8" spans="1:15" x14ac:dyDescent="0.35">
      <c r="A8" s="2" t="s">
        <v>9</v>
      </c>
      <c r="B8">
        <v>18385.733333333334</v>
      </c>
      <c r="F8" s="2" t="s">
        <v>34</v>
      </c>
      <c r="G8">
        <v>248</v>
      </c>
      <c r="I8" s="2">
        <v>2016</v>
      </c>
      <c r="J8">
        <v>7125</v>
      </c>
    </row>
    <row r="9" spans="1:15" x14ac:dyDescent="0.35">
      <c r="A9" s="2" t="s">
        <v>12</v>
      </c>
      <c r="B9">
        <v>27000</v>
      </c>
      <c r="I9" s="2">
        <v>2017</v>
      </c>
      <c r="J9">
        <v>9640</v>
      </c>
    </row>
    <row r="10" spans="1:15" x14ac:dyDescent="0.35">
      <c r="A10" s="2" t="s">
        <v>15</v>
      </c>
      <c r="B10">
        <v>30199</v>
      </c>
      <c r="I10" s="2">
        <v>2018</v>
      </c>
      <c r="J10">
        <v>3500</v>
      </c>
    </row>
    <row r="11" spans="1:15" x14ac:dyDescent="0.35">
      <c r="A11" s="2" t="s">
        <v>31</v>
      </c>
      <c r="B11">
        <v>61898</v>
      </c>
      <c r="I11" s="2">
        <v>2019</v>
      </c>
      <c r="J11">
        <v>3065</v>
      </c>
      <c r="N11" s="1" t="s">
        <v>38</v>
      </c>
      <c r="O11" t="s">
        <v>39</v>
      </c>
    </row>
    <row r="12" spans="1:15" x14ac:dyDescent="0.35">
      <c r="A12" s="2" t="s">
        <v>24</v>
      </c>
      <c r="B12">
        <v>17100</v>
      </c>
      <c r="I12" s="2">
        <v>2020</v>
      </c>
      <c r="J12">
        <v>1035</v>
      </c>
      <c r="N12" s="2" t="s">
        <v>10</v>
      </c>
      <c r="O12">
        <v>106</v>
      </c>
    </row>
    <row r="13" spans="1:15" x14ac:dyDescent="0.35">
      <c r="A13" s="2" t="s">
        <v>27</v>
      </c>
      <c r="B13">
        <v>30748</v>
      </c>
      <c r="I13" s="2" t="s">
        <v>34</v>
      </c>
      <c r="J13">
        <v>28810</v>
      </c>
      <c r="N13" s="2" t="s">
        <v>17</v>
      </c>
      <c r="O13">
        <v>86</v>
      </c>
    </row>
    <row r="14" spans="1:15" x14ac:dyDescent="0.35">
      <c r="A14" s="2" t="s">
        <v>25</v>
      </c>
      <c r="B14">
        <v>16270.25</v>
      </c>
      <c r="N14" s="2" t="s">
        <v>26</v>
      </c>
      <c r="O14">
        <v>56</v>
      </c>
    </row>
    <row r="15" spans="1:15" x14ac:dyDescent="0.35">
      <c r="A15" s="2" t="s">
        <v>29</v>
      </c>
      <c r="B15">
        <v>29998</v>
      </c>
      <c r="N15" s="2" t="s">
        <v>34</v>
      </c>
      <c r="O15">
        <v>248</v>
      </c>
    </row>
    <row r="16" spans="1:15" x14ac:dyDescent="0.35">
      <c r="A16" s="2" t="s">
        <v>19</v>
      </c>
      <c r="B16">
        <v>20062.866666666665</v>
      </c>
    </row>
    <row r="17" spans="1:8" x14ac:dyDescent="0.35">
      <c r="A17" s="2" t="s">
        <v>23</v>
      </c>
      <c r="B17">
        <v>26979.200000000001</v>
      </c>
      <c r="G17" s="1" t="s">
        <v>38</v>
      </c>
      <c r="H17" t="s">
        <v>43</v>
      </c>
    </row>
    <row r="18" spans="1:8" x14ac:dyDescent="0.35">
      <c r="A18" s="2" t="s">
        <v>22</v>
      </c>
      <c r="B18">
        <v>30217.75</v>
      </c>
      <c r="G18" s="2">
        <v>2013</v>
      </c>
      <c r="H18">
        <v>58756.714285714283</v>
      </c>
    </row>
    <row r="19" spans="1:8" x14ac:dyDescent="0.35">
      <c r="A19" s="2" t="s">
        <v>30</v>
      </c>
      <c r="B19">
        <v>32162.666666666668</v>
      </c>
      <c r="G19" s="2">
        <v>2014</v>
      </c>
      <c r="H19">
        <v>48106.285714285717</v>
      </c>
    </row>
    <row r="20" spans="1:8" x14ac:dyDescent="0.35">
      <c r="A20" s="2" t="s">
        <v>33</v>
      </c>
      <c r="B20">
        <v>78000</v>
      </c>
      <c r="G20" s="2">
        <v>2015</v>
      </c>
      <c r="H20">
        <v>47904.238095238092</v>
      </c>
    </row>
    <row r="21" spans="1:8" x14ac:dyDescent="0.35">
      <c r="A21" s="2" t="s">
        <v>32</v>
      </c>
      <c r="B21">
        <v>18650</v>
      </c>
      <c r="G21" s="2">
        <v>2016</v>
      </c>
      <c r="H21">
        <v>37048.432432432433</v>
      </c>
    </row>
    <row r="22" spans="1:8" x14ac:dyDescent="0.35">
      <c r="A22" s="2" t="s">
        <v>34</v>
      </c>
      <c r="B22">
        <v>17764.802419354837</v>
      </c>
      <c r="G22" s="2">
        <v>2017</v>
      </c>
      <c r="H22">
        <v>33607.712500000001</v>
      </c>
    </row>
    <row r="23" spans="1:8" x14ac:dyDescent="0.35">
      <c r="G23" s="2">
        <v>2018</v>
      </c>
      <c r="H23">
        <v>16269.458333333334</v>
      </c>
    </row>
    <row r="24" spans="1:8" x14ac:dyDescent="0.35">
      <c r="G24" s="2">
        <v>2019</v>
      </c>
      <c r="H24">
        <v>7341.0952380952385</v>
      </c>
    </row>
    <row r="25" spans="1:8" x14ac:dyDescent="0.35">
      <c r="G25" s="2">
        <v>2020</v>
      </c>
      <c r="H25">
        <v>2315.7142857142858</v>
      </c>
    </row>
    <row r="26" spans="1:8" x14ac:dyDescent="0.35">
      <c r="G26" s="2" t="s">
        <v>34</v>
      </c>
      <c r="H26">
        <v>32587.96370967742</v>
      </c>
    </row>
    <row r="41" spans="2:2" x14ac:dyDescent="0.35">
      <c r="B41" t="s">
        <v>44</v>
      </c>
    </row>
    <row r="42" spans="2:2" x14ac:dyDescent="0.35">
      <c r="B42" t="s">
        <v>45</v>
      </c>
    </row>
    <row r="43" spans="2:2" x14ac:dyDescent="0.35">
      <c r="B43" t="s">
        <v>46</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77787-95E2-4D16-B8F9-FF87DD02C9E6}">
  <dimension ref="B3:P46"/>
  <sheetViews>
    <sheetView zoomScale="73" workbookViewId="0">
      <selection activeCell="U12" sqref="U12"/>
    </sheetView>
  </sheetViews>
  <sheetFormatPr defaultRowHeight="14.5" x14ac:dyDescent="0.35"/>
  <cols>
    <col min="2" max="2" width="13.6328125" bestFit="1" customWidth="1"/>
    <col min="5" max="5" width="14.08984375" bestFit="1" customWidth="1"/>
    <col min="6" max="6" width="11.81640625" bestFit="1" customWidth="1"/>
    <col min="12" max="12" width="13.7265625" bestFit="1" customWidth="1"/>
    <col min="13" max="13" width="7.81640625" bestFit="1" customWidth="1"/>
    <col min="14" max="14" width="10.36328125" bestFit="1" customWidth="1"/>
    <col min="15" max="15" width="13.6328125" bestFit="1" customWidth="1"/>
    <col min="16" max="16" width="10.6328125" bestFit="1" customWidth="1"/>
    <col min="17" max="20" width="4.81640625" bestFit="1" customWidth="1"/>
    <col min="21" max="21" width="10.36328125" bestFit="1" customWidth="1"/>
  </cols>
  <sheetData>
    <row r="3" spans="2:16" x14ac:dyDescent="0.35">
      <c r="B3" t="s">
        <v>35</v>
      </c>
      <c r="E3" s="1" t="s">
        <v>41</v>
      </c>
    </row>
    <row r="4" spans="2:16" x14ac:dyDescent="0.35">
      <c r="B4" s="3">
        <v>4405671</v>
      </c>
      <c r="E4" s="1" t="s">
        <v>0</v>
      </c>
      <c r="F4" t="s">
        <v>40</v>
      </c>
      <c r="O4" s="1" t="s">
        <v>36</v>
      </c>
    </row>
    <row r="5" spans="2:16" x14ac:dyDescent="0.35">
      <c r="E5" t="s">
        <v>14</v>
      </c>
      <c r="F5">
        <v>13595.72463768116</v>
      </c>
      <c r="N5" s="1" t="s">
        <v>0</v>
      </c>
      <c r="O5" t="s">
        <v>39</v>
      </c>
      <c r="P5" t="s">
        <v>42</v>
      </c>
    </row>
    <row r="6" spans="2:16" x14ac:dyDescent="0.35">
      <c r="E6" t="s">
        <v>16</v>
      </c>
      <c r="F6">
        <v>15446.588235294117</v>
      </c>
      <c r="I6" t="s">
        <v>14</v>
      </c>
      <c r="J6">
        <f>COUNTA(I6:I23)</f>
        <v>18</v>
      </c>
      <c r="N6" t="s">
        <v>14</v>
      </c>
      <c r="O6">
        <v>69</v>
      </c>
      <c r="P6">
        <v>4115.6000000000004</v>
      </c>
    </row>
    <row r="7" spans="2:16" x14ac:dyDescent="0.35">
      <c r="E7" t="s">
        <v>20</v>
      </c>
      <c r="F7">
        <v>16378.288461538461</v>
      </c>
      <c r="I7" t="s">
        <v>16</v>
      </c>
      <c r="N7" t="s">
        <v>16</v>
      </c>
      <c r="O7">
        <v>17</v>
      </c>
      <c r="P7">
        <v>1209.5000000000002</v>
      </c>
    </row>
    <row r="8" spans="2:16" x14ac:dyDescent="0.35">
      <c r="E8" t="s">
        <v>18</v>
      </c>
      <c r="F8">
        <v>18842.400000000001</v>
      </c>
      <c r="I8" t="s">
        <v>20</v>
      </c>
      <c r="N8" t="s">
        <v>20</v>
      </c>
      <c r="O8">
        <v>52</v>
      </c>
      <c r="P8">
        <v>3270.6999999999994</v>
      </c>
    </row>
    <row r="9" spans="2:16" x14ac:dyDescent="0.35">
      <c r="E9" t="s">
        <v>9</v>
      </c>
      <c r="F9">
        <v>18385.733333333334</v>
      </c>
      <c r="I9" t="s">
        <v>18</v>
      </c>
      <c r="N9" t="s">
        <v>18</v>
      </c>
      <c r="O9">
        <v>15</v>
      </c>
      <c r="P9">
        <v>859.50000000000023</v>
      </c>
    </row>
    <row r="10" spans="2:16" x14ac:dyDescent="0.35">
      <c r="E10" t="s">
        <v>12</v>
      </c>
      <c r="F10">
        <v>27000</v>
      </c>
      <c r="I10" t="s">
        <v>9</v>
      </c>
      <c r="N10" t="s">
        <v>9</v>
      </c>
      <c r="O10">
        <v>30</v>
      </c>
      <c r="P10">
        <v>1829.1999999999998</v>
      </c>
    </row>
    <row r="11" spans="2:16" x14ac:dyDescent="0.35">
      <c r="E11" t="s">
        <v>15</v>
      </c>
      <c r="F11">
        <v>30199</v>
      </c>
      <c r="I11" t="s">
        <v>12</v>
      </c>
      <c r="N11" t="s">
        <v>12</v>
      </c>
      <c r="O11">
        <v>1</v>
      </c>
      <c r="P11">
        <v>42.8</v>
      </c>
    </row>
    <row r="12" spans="2:16" x14ac:dyDescent="0.35">
      <c r="E12" t="s">
        <v>31</v>
      </c>
      <c r="F12">
        <v>61898</v>
      </c>
      <c r="I12" t="s">
        <v>15</v>
      </c>
      <c r="L12" s="1" t="s">
        <v>37</v>
      </c>
      <c r="N12" t="s">
        <v>15</v>
      </c>
      <c r="O12">
        <v>2</v>
      </c>
      <c r="P12">
        <v>94.5</v>
      </c>
    </row>
    <row r="13" spans="2:16" x14ac:dyDescent="0.35">
      <c r="E13" t="s">
        <v>24</v>
      </c>
      <c r="F13">
        <v>17100</v>
      </c>
      <c r="I13" t="s">
        <v>31</v>
      </c>
      <c r="L13" s="1" t="s">
        <v>1</v>
      </c>
      <c r="M13" t="s">
        <v>40</v>
      </c>
      <c r="N13" t="s">
        <v>31</v>
      </c>
      <c r="O13">
        <v>1</v>
      </c>
      <c r="P13">
        <v>39.799999999999997</v>
      </c>
    </row>
    <row r="14" spans="2:16" x14ac:dyDescent="0.35">
      <c r="E14" t="s">
        <v>27</v>
      </c>
      <c r="F14">
        <v>30748</v>
      </c>
      <c r="I14" t="s">
        <v>24</v>
      </c>
      <c r="L14">
        <v>2013</v>
      </c>
      <c r="M14">
        <v>411297</v>
      </c>
      <c r="N14" t="s">
        <v>24</v>
      </c>
      <c r="O14">
        <v>1</v>
      </c>
      <c r="P14">
        <v>470.8</v>
      </c>
    </row>
    <row r="15" spans="2:16" x14ac:dyDescent="0.35">
      <c r="E15" t="s">
        <v>25</v>
      </c>
      <c r="F15">
        <v>16270.25</v>
      </c>
      <c r="I15" t="s">
        <v>27</v>
      </c>
      <c r="L15">
        <v>2014</v>
      </c>
      <c r="M15">
        <v>673488</v>
      </c>
      <c r="N15" t="s">
        <v>27</v>
      </c>
      <c r="O15">
        <v>2</v>
      </c>
      <c r="P15">
        <v>68</v>
      </c>
    </row>
    <row r="16" spans="2:16" x14ac:dyDescent="0.35">
      <c r="E16" t="s">
        <v>29</v>
      </c>
      <c r="F16">
        <v>29998</v>
      </c>
      <c r="I16" t="s">
        <v>25</v>
      </c>
      <c r="L16">
        <v>2015</v>
      </c>
      <c r="M16">
        <v>1005989</v>
      </c>
      <c r="N16" t="s">
        <v>25</v>
      </c>
      <c r="O16">
        <v>24</v>
      </c>
      <c r="P16">
        <v>1455.6999999999998</v>
      </c>
    </row>
    <row r="17" spans="5:16" x14ac:dyDescent="0.35">
      <c r="E17" t="s">
        <v>19</v>
      </c>
      <c r="F17">
        <v>20062.866666666665</v>
      </c>
      <c r="I17" t="s">
        <v>29</v>
      </c>
      <c r="L17">
        <v>2016</v>
      </c>
      <c r="M17">
        <v>2741584</v>
      </c>
      <c r="N17" t="s">
        <v>29</v>
      </c>
      <c r="O17">
        <v>1</v>
      </c>
      <c r="P17">
        <v>49.6</v>
      </c>
    </row>
    <row r="18" spans="5:16" x14ac:dyDescent="0.35">
      <c r="E18" t="s">
        <v>23</v>
      </c>
      <c r="F18">
        <v>26979.200000000001</v>
      </c>
      <c r="I18" t="s">
        <v>19</v>
      </c>
      <c r="L18">
        <v>2017</v>
      </c>
      <c r="M18">
        <v>2688617</v>
      </c>
      <c r="N18" t="s">
        <v>19</v>
      </c>
      <c r="O18">
        <v>15</v>
      </c>
      <c r="P18">
        <v>770.2</v>
      </c>
    </row>
    <row r="19" spans="5:16" x14ac:dyDescent="0.35">
      <c r="E19" t="s">
        <v>22</v>
      </c>
      <c r="F19">
        <v>30217.75</v>
      </c>
      <c r="I19" t="s">
        <v>23</v>
      </c>
      <c r="L19">
        <v>2018</v>
      </c>
      <c r="M19">
        <v>390467</v>
      </c>
      <c r="N19" t="s">
        <v>23</v>
      </c>
      <c r="O19">
        <v>5</v>
      </c>
      <c r="P19">
        <v>248.5</v>
      </c>
    </row>
    <row r="20" spans="5:16" x14ac:dyDescent="0.35">
      <c r="E20" t="s">
        <v>30</v>
      </c>
      <c r="F20">
        <v>32162.666666666668</v>
      </c>
      <c r="I20" t="s">
        <v>22</v>
      </c>
      <c r="L20">
        <v>2019</v>
      </c>
      <c r="M20">
        <v>154163</v>
      </c>
      <c r="N20" t="s">
        <v>22</v>
      </c>
      <c r="O20">
        <v>8</v>
      </c>
      <c r="P20">
        <v>450.4</v>
      </c>
    </row>
    <row r="21" spans="5:16" x14ac:dyDescent="0.35">
      <c r="E21" t="s">
        <v>33</v>
      </c>
      <c r="F21">
        <v>78000</v>
      </c>
      <c r="I21" t="s">
        <v>30</v>
      </c>
      <c r="L21">
        <v>2020</v>
      </c>
      <c r="M21">
        <v>16210</v>
      </c>
      <c r="N21" t="s">
        <v>30</v>
      </c>
      <c r="O21">
        <v>3</v>
      </c>
      <c r="P21">
        <v>139</v>
      </c>
    </row>
    <row r="22" spans="5:16" x14ac:dyDescent="0.35">
      <c r="E22" t="s">
        <v>32</v>
      </c>
      <c r="F22">
        <v>18650</v>
      </c>
      <c r="I22" t="s">
        <v>33</v>
      </c>
      <c r="L22" t="s">
        <v>34</v>
      </c>
      <c r="M22">
        <v>8081815</v>
      </c>
      <c r="N22" t="s">
        <v>33</v>
      </c>
      <c r="O22">
        <v>1</v>
      </c>
      <c r="P22">
        <v>31.4</v>
      </c>
    </row>
    <row r="23" spans="5:16" x14ac:dyDescent="0.35">
      <c r="E23" t="s">
        <v>34</v>
      </c>
      <c r="F23">
        <v>17764.802419354837</v>
      </c>
      <c r="I23" t="s">
        <v>32</v>
      </c>
      <c r="N23" t="s">
        <v>32</v>
      </c>
      <c r="O23">
        <v>1</v>
      </c>
      <c r="P23">
        <v>41.5</v>
      </c>
    </row>
    <row r="24" spans="5:16" x14ac:dyDescent="0.35">
      <c r="N24" t="s">
        <v>34</v>
      </c>
      <c r="O24">
        <v>248</v>
      </c>
      <c r="P24">
        <v>15186.699999999992</v>
      </c>
    </row>
    <row r="29" spans="5:16" x14ac:dyDescent="0.35">
      <c r="L29" s="4"/>
      <c r="M29" s="5"/>
      <c r="N29" s="6"/>
    </row>
    <row r="30" spans="5:16" x14ac:dyDescent="0.35">
      <c r="L30" s="7"/>
      <c r="M30" s="8"/>
      <c r="N30" s="9"/>
    </row>
    <row r="31" spans="5:16" x14ac:dyDescent="0.35">
      <c r="L31" s="7"/>
      <c r="M31" s="8"/>
      <c r="N31" s="9"/>
    </row>
    <row r="32" spans="5:16" x14ac:dyDescent="0.35">
      <c r="L32" s="7"/>
      <c r="M32" s="8"/>
      <c r="N32" s="9"/>
    </row>
    <row r="33" spans="12:14" x14ac:dyDescent="0.35">
      <c r="L33" s="7"/>
      <c r="M33" s="8"/>
      <c r="N33" s="9"/>
    </row>
    <row r="34" spans="12:14" x14ac:dyDescent="0.35">
      <c r="L34" s="7"/>
      <c r="M34" s="8"/>
      <c r="N34" s="9"/>
    </row>
    <row r="35" spans="12:14" x14ac:dyDescent="0.35">
      <c r="L35" s="7"/>
      <c r="M35" s="8"/>
      <c r="N35" s="9"/>
    </row>
    <row r="36" spans="12:14" x14ac:dyDescent="0.35">
      <c r="L36" s="7"/>
      <c r="M36" s="8"/>
      <c r="N36" s="9"/>
    </row>
    <row r="37" spans="12:14" x14ac:dyDescent="0.35">
      <c r="L37" s="7"/>
      <c r="M37" s="8"/>
      <c r="N37" s="9"/>
    </row>
    <row r="38" spans="12:14" x14ac:dyDescent="0.35">
      <c r="L38" s="7"/>
      <c r="M38" s="8"/>
      <c r="N38" s="9"/>
    </row>
    <row r="39" spans="12:14" x14ac:dyDescent="0.35">
      <c r="L39" s="7"/>
      <c r="M39" s="8"/>
      <c r="N39" s="9"/>
    </row>
    <row r="40" spans="12:14" x14ac:dyDescent="0.35">
      <c r="L40" s="7"/>
      <c r="M40" s="8"/>
      <c r="N40" s="9"/>
    </row>
    <row r="41" spans="12:14" x14ac:dyDescent="0.35">
      <c r="L41" s="7"/>
      <c r="M41" s="8"/>
      <c r="N41" s="9"/>
    </row>
    <row r="42" spans="12:14" x14ac:dyDescent="0.35">
      <c r="L42" s="7"/>
      <c r="M42" s="8"/>
      <c r="N42" s="9"/>
    </row>
    <row r="43" spans="12:14" x14ac:dyDescent="0.35">
      <c r="L43" s="7"/>
      <c r="M43" s="8"/>
      <c r="N43" s="9"/>
    </row>
    <row r="44" spans="12:14" x14ac:dyDescent="0.35">
      <c r="L44" s="7"/>
      <c r="M44" s="8"/>
      <c r="N44" s="9"/>
    </row>
    <row r="45" spans="12:14" x14ac:dyDescent="0.35">
      <c r="L45" s="7"/>
      <c r="M45" s="8"/>
      <c r="N45" s="9"/>
    </row>
    <row r="46" spans="12:14" x14ac:dyDescent="0.35">
      <c r="L46" s="10"/>
      <c r="M46" s="11"/>
      <c r="N46" s="12"/>
    </row>
  </sheetData>
  <pageMargins left="0.7" right="0.7" top="0.75" bottom="0.75" header="0.3" footer="0.3"/>
  <pageSetup paperSize="9"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 BMW data</vt:lpstr>
      <vt:lpstr>DASHBOARD</vt:lpstr>
      <vt:lpstr>Sheet1</vt:lpstr>
      <vt:lpstr>Chart</vt:lpstr>
      <vt:lpstr>KPIS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Darshan Sawant</dc:creator>
  <cp:lastModifiedBy>Darshan Sawant</cp:lastModifiedBy>
  <dcterms:created xsi:type="dcterms:W3CDTF">2026-01-22T20:32:56Z</dcterms:created>
  <dcterms:modified xsi:type="dcterms:W3CDTF">2026-03-25T16:15:09Z</dcterms:modified>
</cp:coreProperties>
</file>